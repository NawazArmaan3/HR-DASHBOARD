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hmad\Downloads\PowerBI\"/>
    </mc:Choice>
  </mc:AlternateContent>
  <xr:revisionPtr revIDLastSave="0" documentId="8_{2E3E8E88-0CA6-4078-AA56-F474FFF788AF}" xr6:coauthVersionLast="47" xr6:coauthVersionMax="47" xr10:uidLastSave="{00000000-0000-0000-0000-000000000000}"/>
  <bookViews>
    <workbookView xWindow="-110" yWindow="-110" windowWidth="19420" windowHeight="10300" activeTab="1" xr2:uid="{408BA6AB-5196-496B-9C80-B057CC378CDA}"/>
  </bookViews>
  <sheets>
    <sheet name="Data" sheetId="1" r:id="rId1"/>
    <sheet name="dashboard" sheetId="2" r:id="rId2"/>
    <sheet name="Detail1" sheetId="4" state="hidden" r:id="rId3"/>
    <sheet name="pivot tables" sheetId="3" r:id="rId4"/>
  </sheets>
  <definedNames>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8" i="3" l="1"/>
  <c r="Z17" i="3"/>
  <c r="Z16" i="3"/>
  <c r="Z15" i="3"/>
  <c r="Z14" i="3"/>
  <c r="W17" i="3"/>
  <c r="W16" i="3"/>
  <c r="W15" i="3"/>
  <c r="W14" i="3"/>
  <c r="W13" i="3"/>
  <c r="G16" i="3"/>
  <c r="G15" i="3"/>
  <c r="G14" i="3"/>
  <c r="G13" i="3"/>
  <c r="G12" i="3"/>
  <c r="T16" i="3"/>
  <c r="T15" i="3"/>
  <c r="T14" i="3"/>
  <c r="T13" i="3"/>
  <c r="T12" i="3"/>
  <c r="O13" i="3"/>
  <c r="O12" i="3"/>
  <c r="O11" i="3"/>
  <c r="J21" i="3"/>
  <c r="J22" i="3"/>
  <c r="J17" i="3"/>
  <c r="J16" i="3"/>
  <c r="J15" i="3"/>
  <c r="J14" i="3"/>
  <c r="J13" i="3"/>
  <c r="F16" i="3"/>
  <c r="F15" i="3"/>
  <c r="F14" i="3"/>
  <c r="F13" i="3"/>
  <c r="F12" i="3"/>
  <c r="C12" i="3"/>
  <c r="C11" i="3"/>
  <c r="C10" i="3"/>
  <c r="C13" i="3" l="1"/>
  <c r="J23" i="3"/>
  <c r="O14" i="3"/>
  <c r="N16" i="3"/>
  <c r="O16" i="3" s="1"/>
  <c r="N17" i="3"/>
  <c r="O17" i="3" s="1"/>
  <c r="N18" i="3"/>
  <c r="O18" i="3" s="1"/>
  <c r="G17" i="3"/>
  <c r="W18" i="3"/>
  <c r="Z19" i="3"/>
  <c r="F17" i="3"/>
  <c r="J18" i="3"/>
  <c r="K22" i="3"/>
  <c r="L22" i="3" s="1"/>
  <c r="K21" i="3"/>
  <c r="L21" i="3" s="1"/>
</calcChain>
</file>

<file path=xl/sharedStrings.xml><?xml version="1.0" encoding="utf-8"?>
<sst xmlns="http://schemas.openxmlformats.org/spreadsheetml/2006/main" count="1287" uniqueCount="229">
  <si>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</si>
  <si>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</si>
  <si>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</si>
  <si>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</si>
  <si>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</si>
  <si>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</si>
  <si>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</si>
  <si>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</si>
  <si>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</si>
  <si>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</si>
  <si>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</si>
  <si>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</si>
  <si>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</si>
  <si>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</si>
  <si>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</si>
  <si>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</si>
  <si>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</si>
  <si>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</si>
  <si>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</si>
  <si>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</si>
  <si>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</si>
  <si>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</si>
  <si>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</si>
  <si>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</si>
  <si>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</si>
  <si>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</si>
  <si>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</si>
  <si>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</si>
  <si>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</si>
  <si>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</si>
  <si>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</si>
  <si>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</si>
  <si>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</si>
  <si>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</si>
  <si>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</si>
  <si>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</si>
  <si>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</si>
  <si>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</si>
  <si>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</si>
  <si>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</si>
  <si>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</si>
  <si>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</si>
  <si>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</si>
  <si>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</si>
  <si>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</si>
  <si>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</si>
  <si>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</si>
  <si>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</si>
  <si>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</si>
  <si>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</si>
  <si>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</si>
  <si>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</si>
  <si>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</si>
  <si>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</si>
  <si>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</si>
  <si>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</si>
  <si>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</si>
  <si>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</si>
  <si>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</si>
  <si>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</si>
  <si>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</si>
  <si>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</si>
  <si>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</si>
  <si>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</si>
  <si>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</si>
  <si>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</si>
  <si>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</si>
  <si>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</si>
  <si>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</si>
  <si>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</si>
  <si>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</si>
  <si>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</si>
  <si>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</si>
  <si>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</si>
  <si>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</si>
  <si>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</si>
  <si>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</si>
  <si>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</si>
  <si>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</si>
  <si>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</si>
  <si>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</si>
  <si>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</si>
  <si>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</si>
  <si>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</si>
  <si>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</si>
  <si>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</si>
  <si>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</si>
  <si>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</si>
  <si>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</si>
  <si>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</si>
  <si>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</si>
  <si>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</si>
  <si>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</si>
  <si>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</si>
  <si>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</si>
  <si>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</si>
  <si>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</si>
  <si>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</si>
  <si>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</si>
  <si>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</si>
  <si>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</si>
  <si>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</si>
  <si>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</si>
  <si>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</si>
  <si>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</si>
  <si>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</si>
  <si>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</si>
  <si>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</si>
  <si>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</si>
  <si>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</si>
  <si>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</si>
  <si>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</si>
  <si>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</si>
  <si>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</si>
  <si>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</si>
  <si>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</si>
  <si>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</si>
  <si>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</si>
  <si>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</si>
  <si>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</si>
  <si>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</si>
  <si>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</si>
  <si>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</si>
  <si>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</si>
  <si>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</si>
  <si>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</si>
  <si>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</si>
  <si>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</si>
  <si>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</si>
  <si>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</si>
  <si>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</si>
  <si>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</si>
  <si>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</si>
  <si>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</si>
  <si>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</si>
  <si>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</si>
  <si>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</si>
  <si>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</si>
  <si>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</si>
  <si>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</si>
  <si>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</si>
  <si>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</si>
  <si>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</si>
  <si>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</si>
  <si>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</si>
  <si>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</si>
  <si>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</si>
  <si>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</si>
  <si>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</si>
  <si>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</si>
  <si>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</si>
  <si>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</si>
  <si>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</si>
  <si>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</si>
  <si>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</si>
  <si>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</si>
  <si>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</si>
  <si>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</si>
  <si>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</si>
  <si>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</si>
  <si>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</si>
  <si>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</si>
  <si>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</si>
  <si>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</si>
  <si>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</si>
  <si>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</si>
  <si>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</si>
  <si>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</si>
  <si>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</si>
  <si>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</si>
  <si>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</si>
  <si>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</si>
  <si>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</si>
  <si>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</si>
  <si>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</si>
  <si>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</si>
  <si>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</si>
  <si>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</si>
  <si>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</si>
  <si>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</si>
  <si>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</si>
  <si>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</si>
  <si>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</si>
  <si>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</si>
  <si>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</si>
  <si>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</si>
  <si>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</si>
  <si>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</si>
  <si>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</si>
  <si>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</si>
  <si>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</si>
  <si>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</si>
  <si>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</si>
  <si>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</si>
  <si>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</si>
  <si>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</si>
  <si>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</si>
  <si>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</si>
  <si>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</si>
  <si>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</si>
  <si>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</si>
  <si>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</si>
  <si>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</si>
  <si>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</si>
  <si>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</si>
  <si>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</si>
  <si>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</si>
  <si>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</si>
  <si>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</si>
  <si>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</si>
  <si>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</si>
  <si>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</si>
  <si>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</si>
  <si>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</si>
  <si>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</si>
  <si>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</si>
  <si>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</si>
  <si>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Numbers of employees to employment status</t>
  </si>
  <si>
    <t>Total</t>
  </si>
  <si>
    <t>Sum of Salary</t>
  </si>
  <si>
    <t>Salaries to Departments</t>
  </si>
  <si>
    <t>Column Labels</t>
  </si>
  <si>
    <t>Age range to Gender</t>
  </si>
  <si>
    <t>Details for Count of Full Name - Gender: Female</t>
  </si>
  <si>
    <t>Workplace</t>
  </si>
  <si>
    <t>Sum of Leave Taken</t>
  </si>
  <si>
    <t>Region wise Employees</t>
  </si>
  <si>
    <t>Average of Performance Rating</t>
  </si>
  <si>
    <t>Employee with Average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</si>
</sst>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
    <numFmt numFmtId="165" formatCode="_ * #,##0_ ;_ * \-#,##0_ ;_ * &quot;-&quot;??_ ;_ @_ "/>
  </numFmts>
  <fonts count="10">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1"/>
      <name val="Aptos Narrow"/>
      <family val="2"/>
      <scheme val="minor"/>
    </font>
    <font>
      <b/>
      <sz val="11"/>
      <color theme="1"/>
      <name val="Kulim Park"/>
    </font>
    <font>
      <b/>
      <sz val="11"/>
      <color theme="0"/>
      <name val="Kulim Park"/>
    </font>
    <font>
      <b/>
      <sz val="12"/>
      <color theme="0"/>
      <name val="Kuulim park"/>
    </font>
    <font>
      <sz val="11"/>
      <color theme="1"/>
      <name val="Kuulim park"/>
    </font>
  </fonts>
  <fills count="4">
    <fill>
      <patternFill patternType="none"/>
    </fill>
    <fill>
      <patternFill patternType="gray125"/>
    </fill>
    <fill>
      <patternFill patternType="solid">
        <fgColor rgb="FF282828"/>
        <bgColor indexed="64"/>
      </patternFill>
    </fill>
    <fill>
      <patternFill patternType="solid">
        <fgColor theme="1"/>
        <bgColor indexed="64"/>
      </patternFill>
    </fill>
  </fills>
  <borders count="5">
    <border>
      <left/>
      <right/>
      <top/>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top style="thin">
        <color theme="1" tint="0.499984740745262"/>
      </top>
      <bottom/>
      <diagonal/>
    </border>
    <border>
      <left/>
      <right/>
      <top/>
      <bottom style="thin">
        <color theme="1" tint="0.499984740745262"/>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32">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 xfId="0" applyFont="1" applyFill="1" applyBorder="1" applyAlignment="1">
      <alignment horizontal="center" vertical="center"/>
    </xf>
    <xf numFmtId="0" fontId="0" fillId="2" borderId="0" xfId="0" applyFill="1"/>
    <xf numFmtId="0" fontId="0" fillId="0" borderId="0" xfId="0" pivotButton="1"/>
    <xf numFmtId="0" fontId="0" fillId="0" borderId="0" xfId="0" applyAlignment="1">
      <alignment horizontal="left"/>
    </xf>
    <xf numFmtId="0" fontId="5" fillId="0" borderId="0" xfId="0" applyFont="1"/>
    <xf numFmtId="0" fontId="2" fillId="0" borderId="0" xfId="0" applyFont="1"/>
    <xf numFmtId="0" fontId="2" fillId="0" borderId="0" xfId="0" pivotButton="1" applyFont="1"/>
    <xf numFmtId="0" fontId="2" fillId="0" borderId="0" xfId="0" applyFont="1" applyAlignment="1">
      <alignment horizontal="left"/>
    </xf>
    <xf numFmtId="0" fontId="6" fillId="0" borderId="0" xfId="0" applyFont="1"/>
    <xf numFmtId="0" fontId="7" fillId="3" borderId="0" xfId="0" applyFont="1" applyFill="1" applyAlignment="1">
      <alignment horizontal="center"/>
    </xf>
    <xf numFmtId="164" fontId="2" fillId="0" borderId="0" xfId="0" applyNumberFormat="1" applyFont="1"/>
    <xf numFmtId="165" fontId="2" fillId="0" borderId="0" xfId="0" applyNumberFormat="1" applyFont="1"/>
    <xf numFmtId="165" fontId="2" fillId="0" borderId="0" xfId="1" applyNumberFormat="1" applyFont="1"/>
    <xf numFmtId="165" fontId="6" fillId="0" borderId="0" xfId="1" applyNumberFormat="1" applyFont="1"/>
    <xf numFmtId="0" fontId="6" fillId="0" borderId="0" xfId="0" applyFont="1" applyAlignment="1">
      <alignment horizontal="left"/>
    </xf>
    <xf numFmtId="9" fontId="2" fillId="0" borderId="0" xfId="2" applyFont="1"/>
    <xf numFmtId="10" fontId="6" fillId="0" borderId="0" xfId="0" applyNumberFormat="1" applyFont="1"/>
    <xf numFmtId="9" fontId="2" fillId="0" borderId="0" xfId="0" applyNumberFormat="1" applyFont="1"/>
    <xf numFmtId="0" fontId="9" fillId="0" borderId="0" xfId="0" applyFont="1" applyAlignment="1">
      <alignment horizontal="center"/>
    </xf>
    <xf numFmtId="0" fontId="9" fillId="0" borderId="0" xfId="0" pivotButton="1" applyFont="1"/>
    <xf numFmtId="0" fontId="9" fillId="0" borderId="0" xfId="0" applyFont="1"/>
    <xf numFmtId="0" fontId="9" fillId="0" borderId="0" xfId="0" applyFont="1" applyAlignment="1">
      <alignment horizontal="left"/>
    </xf>
    <xf numFmtId="10" fontId="2" fillId="0" borderId="0" xfId="0" applyNumberFormat="1" applyFont="1"/>
    <xf numFmtId="164" fontId="6" fillId="0" borderId="0" xfId="0" applyNumberFormat="1" applyFont="1"/>
    <xf numFmtId="0" fontId="7" fillId="3" borderId="0" xfId="0" applyFont="1" applyFill="1" applyAlignment="1">
      <alignment horizontal="center"/>
    </xf>
    <xf numFmtId="0" fontId="8" fillId="3" borderId="0" xfId="0" applyFont="1" applyFill="1" applyAlignment="1">
      <alignment horizontal="center"/>
    </xf>
  </cellXfs>
  <cellStyles count="3">
    <cellStyle name="Comma" xfId="1" builtinId="3"/>
    <cellStyle name="Normal" xfId="0" builtinId="0"/>
    <cellStyle name="Percent" xfId="2" builtinId="5"/>
  </cellStyles>
  <dxfs count="62">
    <dxf>
      <font>
        <name val="Kuulim park"/>
        <scheme val="none"/>
      </font>
    </dxf>
    <dxf>
      <font>
        <name val="Kuulim park"/>
        <scheme val="none"/>
      </font>
    </dxf>
    <dxf>
      <font>
        <name val="Kuulim park"/>
        <scheme val="none"/>
      </font>
    </dxf>
    <dxf>
      <font>
        <name val="Kuulim park"/>
        <scheme val="none"/>
      </font>
    </dxf>
    <dxf>
      <font>
        <name val="Kuulim park"/>
        <scheme val="none"/>
      </font>
    </dxf>
    <dxf>
      <font>
        <name val="Ku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5" formatCode="_ * #,##0_ ;_ * \-#,##0_ ;_ * &quot;-&quot;??_ ;_ @_ "/>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name val="Segoe UI Semibold"/>
        <family val="2"/>
        <scheme val="none"/>
      </font>
      <fill>
        <patternFill>
          <fgColor rgb="FFFFC000"/>
          <bgColor rgb="FFFFC000"/>
        </patternFill>
      </fill>
    </dxf>
  </dxfs>
  <tableStyles count="1" defaultTableStyle="TableStyleMedium2" defaultPivotStyle="PivotStyleLight16">
    <tableStyle name="Slicer Style 1" pivot="0" table="0" count="1" xr9:uid="{A6443660-3E69-4BA3-8AE1-3D7BE36F4D09}">
      <tableStyleElement type="wholeTable" dxfId="61"/>
    </tableStyle>
  </tableStyles>
  <colors>
    <mruColors>
      <color rgb="FF1F1F1F"/>
      <color rgb="FF77933C"/>
      <color rgb="FFE5B244"/>
      <color rgb="FF948A54"/>
      <color rgb="FF282828"/>
      <color rgb="FFCC66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98970311598922689"/>
          <c:h val="1"/>
        </c:manualLayout>
      </c:layout>
      <c:pieChart>
        <c:varyColors val="1"/>
        <c:ser>
          <c:idx val="0"/>
          <c:order val="0"/>
          <c:spPr>
            <a:solidFill>
              <a:srgbClr val="E5B244"/>
            </a:solidFill>
          </c:spPr>
          <c:dPt>
            <c:idx val="0"/>
            <c:bubble3D val="0"/>
            <c:spPr>
              <a:solidFill>
                <a:srgbClr val="E5B244"/>
              </a:solidFill>
              <a:ln w="19050">
                <a:solidFill>
                  <a:schemeClr val="lt1"/>
                </a:solidFill>
              </a:ln>
              <a:effectLst/>
            </c:spPr>
            <c:extLst>
              <c:ext xmlns:c16="http://schemas.microsoft.com/office/drawing/2014/chart" uri="{C3380CC4-5D6E-409C-BE32-E72D297353CC}">
                <c16:uniqueId val="{00000001-F967-4983-B7DE-36D8A1E86AE9}"/>
              </c:ext>
            </c:extLst>
          </c:dPt>
          <c:dPt>
            <c:idx val="1"/>
            <c:bubble3D val="0"/>
            <c:spPr>
              <a:solidFill>
                <a:schemeClr val="accent5"/>
              </a:solidFill>
              <a:ln w="19050" cmpd="sng">
                <a:solidFill>
                  <a:schemeClr val="lt1"/>
                </a:solidFill>
                <a:bevel/>
              </a:ln>
              <a:effectLst/>
            </c:spPr>
            <c:extLst>
              <c:ext xmlns:c16="http://schemas.microsoft.com/office/drawing/2014/chart" uri="{C3380CC4-5D6E-409C-BE32-E72D297353CC}">
                <c16:uniqueId val="{00000003-F967-4983-B7DE-36D8A1E86AE9}"/>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F967-4983-B7DE-36D8A1E86AE9}"/>
              </c:ext>
            </c:extLst>
          </c:dPt>
          <c:cat>
            <c:strRef>
              <c:f>'pivot tables'!$B$10:$B$12</c:f>
              <c:strCache>
                <c:ptCount val="3"/>
                <c:pt idx="0">
                  <c:v>Contract</c:v>
                </c:pt>
                <c:pt idx="1">
                  <c:v>Full-Time</c:v>
                </c:pt>
                <c:pt idx="2">
                  <c:v>Part-Time</c:v>
                </c:pt>
              </c:strCache>
            </c:strRef>
          </c:cat>
          <c:val>
            <c:numRef>
              <c:f>'pivot tables'!$C$10:$C$12</c:f>
              <c:numCache>
                <c:formatCode>General</c:formatCode>
                <c:ptCount val="3"/>
                <c:pt idx="0">
                  <c:v>17</c:v>
                </c:pt>
                <c:pt idx="1">
                  <c:v>20</c:v>
                </c:pt>
                <c:pt idx="2">
                  <c:v>13</c:v>
                </c:pt>
              </c:numCache>
            </c:numRef>
          </c:val>
          <c:extLst>
            <c:ext xmlns:c16="http://schemas.microsoft.com/office/drawing/2014/chart" uri="{C3380CC4-5D6E-409C-BE32-E72D297353CC}">
              <c16:uniqueId val="{00000006-F967-4983-B7DE-36D8A1E86AE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tables!Age range</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5B244"/>
          </a:solidFill>
          <a:ln>
            <a:noFill/>
          </a:ln>
          <a:effectLst/>
        </c:spPr>
      </c:pivotFmt>
      <c:pivotFmt>
        <c:idx val="7"/>
        <c:spPr>
          <a:solidFill>
            <a:srgbClr val="E5B244"/>
          </a:solidFill>
          <a:ln>
            <a:noFill/>
          </a:ln>
          <a:effectLst/>
        </c:spPr>
      </c:pivotFmt>
    </c:pivotFmts>
    <c:plotArea>
      <c:layout>
        <c:manualLayout>
          <c:layoutTarget val="inner"/>
          <c:xMode val="edge"/>
          <c:yMode val="edge"/>
          <c:x val="3.9914260717410326E-2"/>
          <c:y val="7.407407407407407E-2"/>
          <c:w val="0.75975206376351767"/>
          <c:h val="0.84204505686789155"/>
        </c:manualLayout>
      </c:layout>
      <c:barChart>
        <c:barDir val="col"/>
        <c:grouping val="clustered"/>
        <c:varyColors val="0"/>
        <c:ser>
          <c:idx val="0"/>
          <c:order val="0"/>
          <c:tx>
            <c:strRef>
              <c:f>'pivot tables'!$J$3:$J$4</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tables'!$I$5:$I$10</c:f>
              <c:strCache>
                <c:ptCount val="5"/>
                <c:pt idx="0">
                  <c:v>18-25</c:v>
                </c:pt>
                <c:pt idx="1">
                  <c:v>26-35</c:v>
                </c:pt>
                <c:pt idx="2">
                  <c:v>36-45</c:v>
                </c:pt>
                <c:pt idx="3">
                  <c:v>46-55</c:v>
                </c:pt>
                <c:pt idx="4">
                  <c:v>56 &lt;</c:v>
                </c:pt>
              </c:strCache>
            </c:strRef>
          </c:cat>
          <c:val>
            <c:numRef>
              <c:f>'pivot tables'!$J$5:$J$10</c:f>
              <c:numCache>
                <c:formatCode>General</c:formatCode>
                <c:ptCount val="5"/>
                <c:pt idx="0">
                  <c:v>1</c:v>
                </c:pt>
                <c:pt idx="1">
                  <c:v>1</c:v>
                </c:pt>
                <c:pt idx="2">
                  <c:v>1</c:v>
                </c:pt>
                <c:pt idx="3">
                  <c:v>2</c:v>
                </c:pt>
                <c:pt idx="4">
                  <c:v>2</c:v>
                </c:pt>
              </c:numCache>
            </c:numRef>
          </c:val>
          <c:extLst>
            <c:ext xmlns:c16="http://schemas.microsoft.com/office/drawing/2014/chart" uri="{C3380CC4-5D6E-409C-BE32-E72D297353CC}">
              <c16:uniqueId val="{00000000-0DF2-4DDD-94E3-C33FB38275EB}"/>
            </c:ext>
          </c:extLst>
        </c:ser>
        <c:ser>
          <c:idx val="1"/>
          <c:order val="1"/>
          <c:tx>
            <c:strRef>
              <c:f>'pivot tables'!$K$3:$K$4</c:f>
              <c:strCache>
                <c:ptCount val="1"/>
                <c:pt idx="0">
                  <c:v>Male</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tables'!$I$5:$I$10</c:f>
              <c:strCache>
                <c:ptCount val="5"/>
                <c:pt idx="0">
                  <c:v>18-25</c:v>
                </c:pt>
                <c:pt idx="1">
                  <c:v>26-35</c:v>
                </c:pt>
                <c:pt idx="2">
                  <c:v>36-45</c:v>
                </c:pt>
                <c:pt idx="3">
                  <c:v>46-55</c:v>
                </c:pt>
                <c:pt idx="4">
                  <c:v>56 &lt;</c:v>
                </c:pt>
              </c:strCache>
            </c:strRef>
          </c:cat>
          <c:val>
            <c:numRef>
              <c:f>'pivot tables'!$K$5:$K$10</c:f>
              <c:numCache>
                <c:formatCode>General</c:formatCode>
                <c:ptCount val="5"/>
                <c:pt idx="2">
                  <c:v>1</c:v>
                </c:pt>
              </c:numCache>
            </c:numRef>
          </c:val>
          <c:extLst>
            <c:ext xmlns:c16="http://schemas.microsoft.com/office/drawing/2014/chart" uri="{C3380CC4-5D6E-409C-BE32-E72D297353CC}">
              <c16:uniqueId val="{00000007-0DF2-4DDD-94E3-C33FB38275EB}"/>
            </c:ext>
          </c:extLst>
        </c:ser>
        <c:dLbls>
          <c:dLblPos val="outEnd"/>
          <c:showLegendKey val="0"/>
          <c:showVal val="1"/>
          <c:showCatName val="0"/>
          <c:showSerName val="0"/>
          <c:showPercent val="0"/>
          <c:showBubbleSize val="0"/>
        </c:dLbls>
        <c:gapWidth val="219"/>
        <c:overlap val="-27"/>
        <c:axId val="1492106528"/>
        <c:axId val="1492104128"/>
      </c:barChart>
      <c:catAx>
        <c:axId val="1492106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bg1"/>
                </a:solidFill>
                <a:latin typeface="Kulim park"/>
                <a:ea typeface="+mn-ea"/>
                <a:cs typeface="+mn-cs"/>
              </a:defRPr>
            </a:pPr>
            <a:endParaRPr lang="en-US"/>
          </a:p>
        </c:txPr>
        <c:crossAx val="1492104128"/>
        <c:crosses val="autoZero"/>
        <c:auto val="1"/>
        <c:lblAlgn val="ctr"/>
        <c:lblOffset val="5"/>
        <c:noMultiLvlLbl val="0"/>
      </c:catAx>
      <c:valAx>
        <c:axId val="1492104128"/>
        <c:scaling>
          <c:orientation val="minMax"/>
        </c:scaling>
        <c:delete val="1"/>
        <c:axPos val="l"/>
        <c:majorGridlines>
          <c:spPr>
            <a:ln w="9525" cap="flat" cmpd="sng" algn="ctr">
              <a:solidFill>
                <a:schemeClr val="tx1">
                  <a:lumMod val="15000"/>
                  <a:lumOff val="85000"/>
                </a:schemeClr>
              </a:solidFill>
              <a:prstDash val="dashDot"/>
              <a:round/>
            </a:ln>
            <a:effectLst/>
          </c:spPr>
        </c:majorGridlines>
        <c:numFmt formatCode="General" sourceLinked="1"/>
        <c:majorTickMark val="out"/>
        <c:minorTickMark val="none"/>
        <c:tickLblPos val="nextTo"/>
        <c:crossAx val="1492106528"/>
        <c:crosses val="autoZero"/>
        <c:crossBetween val="between"/>
      </c:valAx>
      <c:spPr>
        <a:noFill/>
        <a:ln>
          <a:noFill/>
        </a:ln>
        <a:effectLst/>
      </c:spPr>
    </c:plotArea>
    <c:legend>
      <c:legendPos val="tr"/>
      <c:layout>
        <c:manualLayout>
          <c:xMode val="edge"/>
          <c:yMode val="edge"/>
          <c:x val="0.77863036692083309"/>
          <c:y val="4.6599348342971206E-2"/>
          <c:w val="0.22136984202431625"/>
          <c:h val="0.235536161450975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stacked"/>
        <c:varyColors val="0"/>
        <c:ser>
          <c:idx val="0"/>
          <c:order val="0"/>
          <c:spPr>
            <a:solidFill>
              <a:srgbClr val="E5B244"/>
            </a:solidFill>
            <a:ln>
              <a:noFill/>
            </a:ln>
            <a:effectLst/>
          </c:spPr>
          <c:invertIfNegative val="0"/>
          <c:val>
            <c:numRef>
              <c:f>'pivot tables'!$N$16</c:f>
              <c:numCache>
                <c:formatCode>0.00%</c:formatCode>
                <c:ptCount val="1"/>
                <c:pt idx="0">
                  <c:v>0.46</c:v>
                </c:pt>
              </c:numCache>
            </c:numRef>
          </c:val>
          <c:extLst>
            <c:ext xmlns:c16="http://schemas.microsoft.com/office/drawing/2014/chart" uri="{C3380CC4-5D6E-409C-BE32-E72D297353CC}">
              <c16:uniqueId val="{00000000-7620-4210-BCAE-27C0EBD338F1}"/>
            </c:ext>
          </c:extLst>
        </c:ser>
        <c:ser>
          <c:idx val="1"/>
          <c:order val="1"/>
          <c:spPr>
            <a:solidFill>
              <a:schemeClr val="accent2"/>
            </a:solidFill>
            <a:ln>
              <a:noFill/>
            </a:ln>
            <a:effectLst/>
          </c:spPr>
          <c:invertIfNegative val="0"/>
          <c:val>
            <c:numRef>
              <c:f>'pivot tables'!$O$16</c:f>
              <c:numCache>
                <c:formatCode>0.00%</c:formatCode>
                <c:ptCount val="1"/>
                <c:pt idx="0">
                  <c:v>0.54</c:v>
                </c:pt>
              </c:numCache>
            </c:numRef>
          </c:val>
          <c:extLst>
            <c:ext xmlns:c16="http://schemas.microsoft.com/office/drawing/2014/chart" uri="{C3380CC4-5D6E-409C-BE32-E72D297353CC}">
              <c16:uniqueId val="{00000001-7620-4210-BCAE-27C0EBD338F1}"/>
            </c:ext>
          </c:extLst>
        </c:ser>
        <c:dLbls>
          <c:showLegendKey val="0"/>
          <c:showVal val="0"/>
          <c:showCatName val="0"/>
          <c:showSerName val="0"/>
          <c:showPercent val="0"/>
          <c:showBubbleSize val="0"/>
        </c:dLbls>
        <c:gapWidth val="150"/>
        <c:overlap val="100"/>
        <c:axId val="238970624"/>
        <c:axId val="238962192"/>
      </c:barChart>
      <c:catAx>
        <c:axId val="238970624"/>
        <c:scaling>
          <c:orientation val="minMax"/>
        </c:scaling>
        <c:delete val="1"/>
        <c:axPos val="l"/>
        <c:majorTickMark val="none"/>
        <c:minorTickMark val="none"/>
        <c:tickLblPos val="nextTo"/>
        <c:crossAx val="238962192"/>
        <c:crosses val="autoZero"/>
        <c:auto val="1"/>
        <c:lblAlgn val="ctr"/>
        <c:lblOffset val="100"/>
        <c:noMultiLvlLbl val="0"/>
      </c:catAx>
      <c:valAx>
        <c:axId val="238962192"/>
        <c:scaling>
          <c:orientation val="minMax"/>
        </c:scaling>
        <c:delete val="1"/>
        <c:axPos val="b"/>
        <c:numFmt formatCode="0.00%" sourceLinked="1"/>
        <c:majorTickMark val="none"/>
        <c:minorTickMark val="none"/>
        <c:tickLblPos val="nextTo"/>
        <c:crossAx val="238970624"/>
        <c:crosses val="autoZero"/>
        <c:crossBetween val="between"/>
      </c:valAx>
      <c:spPr>
        <a:noFill/>
        <a:ln cap="rnd" cmpd="sng">
          <a:solidFill>
            <a:schemeClr val="lt1">
              <a:shade val="50000"/>
            </a:schemeClr>
          </a:solidFill>
          <a:prstDash val="sysDot"/>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249725854610492E-2"/>
          <c:y val="0"/>
          <c:w val="0.97675017261483388"/>
          <c:h val="0.97217392828542104"/>
        </c:manualLayout>
      </c:layout>
      <c:barChart>
        <c:barDir val="bar"/>
        <c:grouping val="stacked"/>
        <c:varyColors val="0"/>
        <c:ser>
          <c:idx val="0"/>
          <c:order val="0"/>
          <c:spPr>
            <a:solidFill>
              <a:srgbClr val="E5B244"/>
            </a:solidFill>
            <a:ln>
              <a:noFill/>
            </a:ln>
            <a:effectLst/>
          </c:spPr>
          <c:invertIfNegative val="0"/>
          <c:val>
            <c:numRef>
              <c:f>'pivot tables'!$N$17</c:f>
              <c:numCache>
                <c:formatCode>0.00%</c:formatCode>
                <c:ptCount val="1"/>
                <c:pt idx="0">
                  <c:v>0.16</c:v>
                </c:pt>
              </c:numCache>
            </c:numRef>
          </c:val>
          <c:extLst>
            <c:ext xmlns:c16="http://schemas.microsoft.com/office/drawing/2014/chart" uri="{C3380CC4-5D6E-409C-BE32-E72D297353CC}">
              <c16:uniqueId val="{00000000-5F60-4BBB-A949-84DC2B0FE535}"/>
            </c:ext>
          </c:extLst>
        </c:ser>
        <c:ser>
          <c:idx val="1"/>
          <c:order val="1"/>
          <c:spPr>
            <a:solidFill>
              <a:schemeClr val="accent2"/>
            </a:solidFill>
            <a:ln>
              <a:noFill/>
            </a:ln>
            <a:effectLst/>
          </c:spPr>
          <c:invertIfNegative val="0"/>
          <c:val>
            <c:numRef>
              <c:f>'pivot tables'!$O$17</c:f>
              <c:numCache>
                <c:formatCode>0.00%</c:formatCode>
                <c:ptCount val="1"/>
                <c:pt idx="0">
                  <c:v>0.84</c:v>
                </c:pt>
              </c:numCache>
            </c:numRef>
          </c:val>
          <c:extLst>
            <c:ext xmlns:c16="http://schemas.microsoft.com/office/drawing/2014/chart" uri="{C3380CC4-5D6E-409C-BE32-E72D297353CC}">
              <c16:uniqueId val="{00000001-5F60-4BBB-A949-84DC2B0FE535}"/>
            </c:ext>
          </c:extLst>
        </c:ser>
        <c:dLbls>
          <c:showLegendKey val="0"/>
          <c:showVal val="0"/>
          <c:showCatName val="0"/>
          <c:showSerName val="0"/>
          <c:showPercent val="0"/>
          <c:showBubbleSize val="0"/>
        </c:dLbls>
        <c:gapWidth val="150"/>
        <c:overlap val="100"/>
        <c:axId val="163687696"/>
        <c:axId val="163691664"/>
      </c:barChart>
      <c:catAx>
        <c:axId val="163687696"/>
        <c:scaling>
          <c:orientation val="minMax"/>
        </c:scaling>
        <c:delete val="1"/>
        <c:axPos val="l"/>
        <c:majorTickMark val="none"/>
        <c:minorTickMark val="none"/>
        <c:tickLblPos val="nextTo"/>
        <c:crossAx val="163691664"/>
        <c:crosses val="autoZero"/>
        <c:auto val="1"/>
        <c:lblAlgn val="ctr"/>
        <c:lblOffset val="100"/>
        <c:noMultiLvlLbl val="0"/>
      </c:catAx>
      <c:valAx>
        <c:axId val="163691664"/>
        <c:scaling>
          <c:orientation val="minMax"/>
        </c:scaling>
        <c:delete val="1"/>
        <c:axPos val="b"/>
        <c:numFmt formatCode="0.00%" sourceLinked="1"/>
        <c:majorTickMark val="none"/>
        <c:minorTickMark val="none"/>
        <c:tickLblPos val="nextTo"/>
        <c:crossAx val="1636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272391116308031E-3"/>
          <c:y val="6.0337318869269144E-2"/>
          <c:w val="0.97749354268473665"/>
          <c:h val="0.93966268113073081"/>
        </c:manualLayout>
      </c:layout>
      <c:barChart>
        <c:barDir val="bar"/>
        <c:grouping val="stacked"/>
        <c:varyColors val="0"/>
        <c:ser>
          <c:idx val="0"/>
          <c:order val="0"/>
          <c:spPr>
            <a:solidFill>
              <a:srgbClr val="E5B244"/>
            </a:solidFill>
            <a:ln>
              <a:noFill/>
            </a:ln>
            <a:effectLst/>
          </c:spPr>
          <c:invertIfNegative val="0"/>
          <c:val>
            <c:numRef>
              <c:f>'pivot tables'!$N$18</c:f>
              <c:numCache>
                <c:formatCode>0.00%</c:formatCode>
                <c:ptCount val="1"/>
                <c:pt idx="0">
                  <c:v>0.38</c:v>
                </c:pt>
              </c:numCache>
            </c:numRef>
          </c:val>
          <c:extLst>
            <c:ext xmlns:c16="http://schemas.microsoft.com/office/drawing/2014/chart" uri="{C3380CC4-5D6E-409C-BE32-E72D297353CC}">
              <c16:uniqueId val="{00000000-EF1F-4B59-ADF6-C43929CC745E}"/>
            </c:ext>
          </c:extLst>
        </c:ser>
        <c:ser>
          <c:idx val="1"/>
          <c:order val="1"/>
          <c:spPr>
            <a:solidFill>
              <a:schemeClr val="accent2"/>
            </a:solidFill>
            <a:ln>
              <a:noFill/>
            </a:ln>
            <a:effectLst/>
          </c:spPr>
          <c:invertIfNegative val="0"/>
          <c:val>
            <c:numRef>
              <c:f>'pivot tables'!$O$18</c:f>
              <c:numCache>
                <c:formatCode>0.00%</c:formatCode>
                <c:ptCount val="1"/>
                <c:pt idx="0">
                  <c:v>0.62</c:v>
                </c:pt>
              </c:numCache>
            </c:numRef>
          </c:val>
          <c:extLst>
            <c:ext xmlns:c16="http://schemas.microsoft.com/office/drawing/2014/chart" uri="{C3380CC4-5D6E-409C-BE32-E72D297353CC}">
              <c16:uniqueId val="{00000001-EF1F-4B59-ADF6-C43929CC745E}"/>
            </c:ext>
          </c:extLst>
        </c:ser>
        <c:dLbls>
          <c:showLegendKey val="0"/>
          <c:showVal val="0"/>
          <c:showCatName val="0"/>
          <c:showSerName val="0"/>
          <c:showPercent val="0"/>
          <c:showBubbleSize val="0"/>
        </c:dLbls>
        <c:gapWidth val="150"/>
        <c:overlap val="100"/>
        <c:axId val="1420473488"/>
        <c:axId val="1420472496"/>
      </c:barChart>
      <c:catAx>
        <c:axId val="1420473488"/>
        <c:scaling>
          <c:orientation val="minMax"/>
        </c:scaling>
        <c:delete val="1"/>
        <c:axPos val="l"/>
        <c:majorTickMark val="none"/>
        <c:minorTickMark val="none"/>
        <c:tickLblPos val="nextTo"/>
        <c:crossAx val="1420472496"/>
        <c:crosses val="autoZero"/>
        <c:auto val="1"/>
        <c:lblAlgn val="ctr"/>
        <c:lblOffset val="100"/>
        <c:noMultiLvlLbl val="0"/>
      </c:catAx>
      <c:valAx>
        <c:axId val="1420472496"/>
        <c:scaling>
          <c:orientation val="minMax"/>
        </c:scaling>
        <c:delete val="1"/>
        <c:axPos val="b"/>
        <c:numFmt formatCode="0.00%" sourceLinked="1"/>
        <c:majorTickMark val="none"/>
        <c:minorTickMark val="none"/>
        <c:tickLblPos val="nextTo"/>
        <c:crossAx val="142047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chemeClr val="tx1"/>
              </a:solidFill>
              <a:ln w="19050">
                <a:solidFill>
                  <a:schemeClr val="lt1"/>
                </a:solidFill>
              </a:ln>
              <a:effectLst/>
            </c:spPr>
            <c:extLst>
              <c:ext xmlns:c16="http://schemas.microsoft.com/office/drawing/2014/chart" uri="{C3380CC4-5D6E-409C-BE32-E72D297353CC}">
                <c16:uniqueId val="{00000001-E7F7-42CE-8C26-FF5F754D5C6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E7F7-42CE-8C26-FF5F754D5C65}"/>
              </c:ext>
            </c:extLst>
          </c:dPt>
          <c:dLbls>
            <c:delete val="1"/>
          </c:dLbls>
          <c:val>
            <c:numRef>
              <c:f>'pivot tables'!$K$21:$L$21</c:f>
              <c:numCache>
                <c:formatCode>0%</c:formatCode>
                <c:ptCount val="2"/>
                <c:pt idx="0">
                  <c:v>0.125</c:v>
                </c:pt>
                <c:pt idx="1">
                  <c:v>0.875</c:v>
                </c:pt>
              </c:numCache>
            </c:numRef>
          </c:val>
          <c:extLst>
            <c:ext xmlns:c16="http://schemas.microsoft.com/office/drawing/2014/chart" uri="{C3380CC4-5D6E-409C-BE32-E72D297353CC}">
              <c16:uniqueId val="{00000004-E7F7-42CE-8C26-FF5F754D5C6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bg1"/>
      </a:glo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282828"/>
              </a:solidFill>
              <a:ln w="19050">
                <a:solidFill>
                  <a:schemeClr val="lt1"/>
                </a:solidFill>
              </a:ln>
              <a:effectLst/>
            </c:spPr>
            <c:extLst>
              <c:ext xmlns:c16="http://schemas.microsoft.com/office/drawing/2014/chart" uri="{C3380CC4-5D6E-409C-BE32-E72D297353CC}">
                <c16:uniqueId val="{00000001-1AAB-4A36-9FB6-910515E3009A}"/>
              </c:ext>
            </c:extLst>
          </c:dPt>
          <c:dPt>
            <c:idx val="1"/>
            <c:bubble3D val="0"/>
            <c:spPr>
              <a:solidFill>
                <a:srgbClr val="E5B244"/>
              </a:solidFill>
              <a:ln w="19050">
                <a:solidFill>
                  <a:schemeClr val="lt1"/>
                </a:solidFill>
              </a:ln>
              <a:effectLst/>
            </c:spPr>
            <c:extLst>
              <c:ext xmlns:c16="http://schemas.microsoft.com/office/drawing/2014/chart" uri="{C3380CC4-5D6E-409C-BE32-E72D297353CC}">
                <c16:uniqueId val="{00000003-1AAB-4A36-9FB6-910515E3009A}"/>
              </c:ext>
            </c:extLst>
          </c:dPt>
          <c:val>
            <c:numRef>
              <c:f>'pivot tables'!$K$22:$L$22</c:f>
              <c:numCache>
                <c:formatCode>0%</c:formatCode>
                <c:ptCount val="2"/>
                <c:pt idx="0">
                  <c:v>0.875</c:v>
                </c:pt>
                <c:pt idx="1">
                  <c:v>0.125</c:v>
                </c:pt>
              </c:numCache>
            </c:numRef>
          </c:val>
          <c:extLst>
            <c:ext xmlns:c16="http://schemas.microsoft.com/office/drawing/2014/chart" uri="{C3380CC4-5D6E-409C-BE32-E72D297353CC}">
              <c16:uniqueId val="{00000004-1AAB-4A36-9FB6-910515E3009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376532399299449E-3"/>
          <c:y val="3.8261368079768002E-2"/>
          <c:w val="0.99146234676007006"/>
          <c:h val="0.72981972367949433"/>
        </c:manualLayout>
      </c:layout>
      <c:barChart>
        <c:barDir val="col"/>
        <c:grouping val="clustered"/>
        <c:varyColors val="0"/>
        <c:ser>
          <c:idx val="0"/>
          <c:order val="0"/>
          <c:tx>
            <c:strRef>
              <c:f>'pivot tables'!$E$12</c:f>
              <c:strCache>
                <c:ptCount val="1"/>
                <c:pt idx="0">
                  <c:v>Analyst</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tables'!$G$12</c:f>
              <c:numCache>
                <c:formatCode>General</c:formatCode>
                <c:ptCount val="1"/>
                <c:pt idx="0">
                  <c:v>28</c:v>
                </c:pt>
              </c:numCache>
            </c:numRef>
          </c:val>
          <c:extLst>
            <c:ext xmlns:c16="http://schemas.microsoft.com/office/drawing/2014/chart" uri="{C3380CC4-5D6E-409C-BE32-E72D297353CC}">
              <c16:uniqueId val="{00000000-3E8A-408D-832E-C5A4BA52E9CC}"/>
            </c:ext>
          </c:extLst>
        </c:ser>
        <c:ser>
          <c:idx val="1"/>
          <c:order val="1"/>
          <c:tx>
            <c:strRef>
              <c:f>'pivot tables'!$E$13</c:f>
              <c:strCache>
                <c:ptCount val="1"/>
                <c:pt idx="0">
                  <c:v>Designer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tables'!$G$13</c:f>
              <c:numCache>
                <c:formatCode>General</c:formatCode>
                <c:ptCount val="1"/>
                <c:pt idx="0">
                  <c:v>110</c:v>
                </c:pt>
              </c:numCache>
            </c:numRef>
          </c:val>
          <c:extLst>
            <c:ext xmlns:c16="http://schemas.microsoft.com/office/drawing/2014/chart" uri="{C3380CC4-5D6E-409C-BE32-E72D297353CC}">
              <c16:uniqueId val="{00000001-3E8A-408D-832E-C5A4BA52E9CC}"/>
            </c:ext>
          </c:extLst>
        </c:ser>
        <c:ser>
          <c:idx val="2"/>
          <c:order val="2"/>
          <c:tx>
            <c:strRef>
              <c:f>'pivot tables'!$E$14</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tables'!$G$14</c:f>
              <c:numCache>
                <c:formatCode>General</c:formatCode>
                <c:ptCount val="1"/>
                <c:pt idx="0">
                  <c:v>104</c:v>
                </c:pt>
              </c:numCache>
            </c:numRef>
          </c:val>
          <c:extLst>
            <c:ext xmlns:c16="http://schemas.microsoft.com/office/drawing/2014/chart" uri="{C3380CC4-5D6E-409C-BE32-E72D297353CC}">
              <c16:uniqueId val="{00000002-3E8A-408D-832E-C5A4BA52E9CC}"/>
            </c:ext>
          </c:extLst>
        </c:ser>
        <c:ser>
          <c:idx val="3"/>
          <c:order val="3"/>
          <c:tx>
            <c:strRef>
              <c:f>'pivot tables'!$E$15</c:f>
              <c:strCache>
                <c:ptCount val="1"/>
                <c:pt idx="0">
                  <c:v>HR Specialist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tables'!$G$15</c:f>
              <c:numCache>
                <c:formatCode>General</c:formatCode>
                <c:ptCount val="1"/>
                <c:pt idx="0">
                  <c:v>123</c:v>
                </c:pt>
              </c:numCache>
            </c:numRef>
          </c:val>
          <c:extLst>
            <c:ext xmlns:c16="http://schemas.microsoft.com/office/drawing/2014/chart" uri="{C3380CC4-5D6E-409C-BE32-E72D297353CC}">
              <c16:uniqueId val="{00000003-3E8A-408D-832E-C5A4BA52E9CC}"/>
            </c:ext>
          </c:extLst>
        </c:ser>
        <c:ser>
          <c:idx val="4"/>
          <c:order val="4"/>
          <c:tx>
            <c:strRef>
              <c:f>'pivot tables'!$E$16</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tables'!$G$16</c:f>
              <c:numCache>
                <c:formatCode>General</c:formatCode>
                <c:ptCount val="1"/>
                <c:pt idx="0">
                  <c:v>122</c:v>
                </c:pt>
              </c:numCache>
            </c:numRef>
          </c:val>
          <c:extLst>
            <c:ext xmlns:c16="http://schemas.microsoft.com/office/drawing/2014/chart" uri="{C3380CC4-5D6E-409C-BE32-E72D297353CC}">
              <c16:uniqueId val="{00000004-3E8A-408D-832E-C5A4BA52E9CC}"/>
            </c:ext>
          </c:extLst>
        </c:ser>
        <c:dLbls>
          <c:dLblPos val="outEnd"/>
          <c:showLegendKey val="0"/>
          <c:showVal val="1"/>
          <c:showCatName val="0"/>
          <c:showSerName val="0"/>
          <c:showPercent val="0"/>
          <c:showBubbleSize val="0"/>
        </c:dLbls>
        <c:gapWidth val="219"/>
        <c:overlap val="-27"/>
        <c:axId val="191879616"/>
        <c:axId val="191874656"/>
      </c:barChart>
      <c:catAx>
        <c:axId val="1918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74656"/>
        <c:crosses val="autoZero"/>
        <c:auto val="1"/>
        <c:lblAlgn val="ctr"/>
        <c:lblOffset val="100"/>
        <c:noMultiLvlLbl val="0"/>
      </c:catAx>
      <c:valAx>
        <c:axId val="191874656"/>
        <c:scaling>
          <c:orientation val="minMax"/>
        </c:scaling>
        <c:delete val="1"/>
        <c:axPos val="l"/>
        <c:majorGridlines>
          <c:spPr>
            <a:ln w="9525" cap="flat" cmpd="sng" algn="ctr">
              <a:solidFill>
                <a:schemeClr val="tx1">
                  <a:lumMod val="15000"/>
                  <a:lumOff val="85000"/>
                  <a:alpha val="41000"/>
                </a:schemeClr>
              </a:solidFill>
              <a:prstDash val="dashDot"/>
              <a:round/>
            </a:ln>
            <a:effectLst/>
          </c:spPr>
        </c:majorGridlines>
        <c:numFmt formatCode="General" sourceLinked="1"/>
        <c:majorTickMark val="none"/>
        <c:minorTickMark val="none"/>
        <c:tickLblPos val="nextTo"/>
        <c:crossAx val="191879616"/>
        <c:crosses val="autoZero"/>
        <c:crossBetween val="between"/>
      </c:valAx>
      <c:spPr>
        <a:noFill/>
        <a:ln>
          <a:noFill/>
        </a:ln>
        <a:effectLst>
          <a:glow rad="127000">
            <a:schemeClr val="accent1">
              <a:alpha val="91000"/>
            </a:schemeClr>
          </a:glow>
        </a:effectLst>
      </c:spPr>
    </c:plotArea>
    <c:legend>
      <c:legendPos val="b"/>
      <c:layout>
        <c:manualLayout>
          <c:xMode val="edge"/>
          <c:yMode val="edge"/>
          <c:x val="3.9753728423388583E-2"/>
          <c:y val="0.82484780269687297"/>
          <c:w val="0.92552667287988"/>
          <c:h val="0.15885908898859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tables!regions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tables'!$V$5:$V$10</c:f>
              <c:strCache>
                <c:ptCount val="5"/>
                <c:pt idx="0">
                  <c:v>Central</c:v>
                </c:pt>
                <c:pt idx="1">
                  <c:v>East</c:v>
                </c:pt>
                <c:pt idx="2">
                  <c:v>North</c:v>
                </c:pt>
                <c:pt idx="3">
                  <c:v>South</c:v>
                </c:pt>
                <c:pt idx="4">
                  <c:v>West</c:v>
                </c:pt>
              </c:strCache>
            </c:strRef>
          </c:cat>
          <c:val>
            <c:numRef>
              <c:f>'pivot tables'!$W$5:$W$10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1EEC-4ECD-AE94-2C5C047CF052}"/>
            </c:ext>
          </c:extLst>
        </c:ser>
        <c:dLbls>
          <c:dLblPos val="outEnd"/>
          <c:showLegendKey val="0"/>
          <c:showVal val="1"/>
          <c:showCatName val="0"/>
          <c:showSerName val="0"/>
          <c:showPercent val="0"/>
          <c:showBubbleSize val="0"/>
        </c:dLbls>
        <c:gapWidth val="25"/>
        <c:axId val="370099328"/>
        <c:axId val="370096352"/>
      </c:barChart>
      <c:catAx>
        <c:axId val="370099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Kulim park"/>
                <a:ea typeface="+mn-ea"/>
                <a:cs typeface="+mn-cs"/>
              </a:defRPr>
            </a:pPr>
            <a:endParaRPr lang="en-US"/>
          </a:p>
        </c:txPr>
        <c:crossAx val="370096352"/>
        <c:crosses val="autoZero"/>
        <c:auto val="1"/>
        <c:lblAlgn val="ctr"/>
        <c:lblOffset val="100"/>
        <c:noMultiLvlLbl val="0"/>
      </c:catAx>
      <c:valAx>
        <c:axId val="370096352"/>
        <c:scaling>
          <c:orientation val="minMax"/>
        </c:scaling>
        <c:delete val="1"/>
        <c:axPos val="b"/>
        <c:numFmt formatCode="General" sourceLinked="1"/>
        <c:majorTickMark val="none"/>
        <c:minorTickMark val="none"/>
        <c:tickLblPos val="nextTo"/>
        <c:crossAx val="37009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208086</xdr:colOff>
      <xdr:row>21</xdr:row>
      <xdr:rowOff>142328</xdr:rowOff>
    </xdr:from>
    <xdr:to>
      <xdr:col>3</xdr:col>
      <xdr:colOff>385897</xdr:colOff>
      <xdr:row>33</xdr:row>
      <xdr:rowOff>124918</xdr:rowOff>
    </xdr:to>
    <xdr:sp macro="" textlink="">
      <xdr:nvSpPr>
        <xdr:cNvPr id="107" name="Rectangle: Rounded Corners 106">
          <a:extLst>
            <a:ext uri="{FF2B5EF4-FFF2-40B4-BE49-F238E27FC236}">
              <a16:creationId xmlns:a16="http://schemas.microsoft.com/office/drawing/2014/main" id="{AB5750FE-B967-4E3B-955C-5A8F215DED71}"/>
            </a:ext>
          </a:extLst>
        </xdr:cNvPr>
        <xdr:cNvSpPr/>
      </xdr:nvSpPr>
      <xdr:spPr>
        <a:xfrm>
          <a:off x="208086" y="4077246"/>
          <a:ext cx="2020352" cy="2231115"/>
        </a:xfrm>
        <a:prstGeom prst="roundRect">
          <a:avLst>
            <a:gd name="adj" fmla="val 669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210330</xdr:colOff>
      <xdr:row>21</xdr:row>
      <xdr:rowOff>57147</xdr:rowOff>
    </xdr:from>
    <xdr:to>
      <xdr:col>14</xdr:col>
      <xdr:colOff>166138</xdr:colOff>
      <xdr:row>27</xdr:row>
      <xdr:rowOff>46511</xdr:rowOff>
    </xdr:to>
    <xdr:sp macro="" textlink="">
      <xdr:nvSpPr>
        <xdr:cNvPr id="84" name="Rectangle: Rounded Corners 83">
          <a:extLst>
            <a:ext uri="{FF2B5EF4-FFF2-40B4-BE49-F238E27FC236}">
              <a16:creationId xmlns:a16="http://schemas.microsoft.com/office/drawing/2014/main" id="{A74F9F79-A227-43AB-8FE2-25225C7C8907}"/>
            </a:ext>
          </a:extLst>
        </xdr:cNvPr>
        <xdr:cNvSpPr/>
      </xdr:nvSpPr>
      <xdr:spPr>
        <a:xfrm>
          <a:off x="7567571" y="3965681"/>
          <a:ext cx="1182015" cy="1106089"/>
        </a:xfrm>
        <a:prstGeom prst="roundRect">
          <a:avLst>
            <a:gd name="adj" fmla="val 836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531246</xdr:colOff>
      <xdr:row>20</xdr:row>
      <xdr:rowOff>171019</xdr:rowOff>
    </xdr:from>
    <xdr:to>
      <xdr:col>11</xdr:col>
      <xdr:colOff>528369</xdr:colOff>
      <xdr:row>33</xdr:row>
      <xdr:rowOff>49001</xdr:rowOff>
    </xdr:to>
    <xdr:sp macro="" textlink="">
      <xdr:nvSpPr>
        <xdr:cNvPr id="8" name="Rectangle: Rounded Corners 7">
          <a:extLst>
            <a:ext uri="{FF2B5EF4-FFF2-40B4-BE49-F238E27FC236}">
              <a16:creationId xmlns:a16="http://schemas.microsoft.com/office/drawing/2014/main" id="{84C7FF49-1005-477A-851A-630751F172ED}"/>
            </a:ext>
          </a:extLst>
        </xdr:cNvPr>
        <xdr:cNvSpPr/>
      </xdr:nvSpPr>
      <xdr:spPr>
        <a:xfrm>
          <a:off x="4822970" y="3893433"/>
          <a:ext cx="2449537" cy="2297551"/>
        </a:xfrm>
        <a:prstGeom prst="roundRect">
          <a:avLst>
            <a:gd name="adj" fmla="val 1432"/>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100">
            <a:solidFill>
              <a:schemeClr val="bg1"/>
            </a:solidFill>
            <a:latin typeface="+mn-lt"/>
            <a:ea typeface="+mn-ea"/>
            <a:cs typeface="+mn-cs"/>
          </a:endParaRPr>
        </a:p>
      </xdr:txBody>
    </xdr:sp>
    <xdr:clientData/>
  </xdr:twoCellAnchor>
  <xdr:twoCellAnchor>
    <xdr:from>
      <xdr:col>10</xdr:col>
      <xdr:colOff>0</xdr:colOff>
      <xdr:row>31</xdr:row>
      <xdr:rowOff>11815</xdr:rowOff>
    </xdr:from>
    <xdr:to>
      <xdr:col>11</xdr:col>
      <xdr:colOff>466896</xdr:colOff>
      <xdr:row>32</xdr:row>
      <xdr:rowOff>77694</xdr:rowOff>
    </xdr:to>
    <xdr:sp macro="" textlink="">
      <xdr:nvSpPr>
        <xdr:cNvPr id="44" name="Rectangle: Rounded Corners 43">
          <a:extLst>
            <a:ext uri="{FF2B5EF4-FFF2-40B4-BE49-F238E27FC236}">
              <a16:creationId xmlns:a16="http://schemas.microsoft.com/office/drawing/2014/main" id="{6BDDDFC1-0C48-ED74-E6D1-683950568598}"/>
            </a:ext>
          </a:extLst>
        </xdr:cNvPr>
        <xdr:cNvSpPr/>
      </xdr:nvSpPr>
      <xdr:spPr>
        <a:xfrm>
          <a:off x="6131034" y="5781556"/>
          <a:ext cx="1080000" cy="252000"/>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599649</xdr:colOff>
      <xdr:row>29</xdr:row>
      <xdr:rowOff>87770</xdr:rowOff>
    </xdr:from>
    <xdr:to>
      <xdr:col>11</xdr:col>
      <xdr:colOff>453442</xdr:colOff>
      <xdr:row>30</xdr:row>
      <xdr:rowOff>153649</xdr:rowOff>
    </xdr:to>
    <xdr:sp macro="" textlink="">
      <xdr:nvSpPr>
        <xdr:cNvPr id="49" name="Rectangle: Rounded Corners 48">
          <a:extLst>
            <a:ext uri="{FF2B5EF4-FFF2-40B4-BE49-F238E27FC236}">
              <a16:creationId xmlns:a16="http://schemas.microsoft.com/office/drawing/2014/main" id="{A3CFAF2C-78B9-4093-9C6F-A7C15051D7DE}"/>
            </a:ext>
          </a:extLst>
        </xdr:cNvPr>
        <xdr:cNvSpPr/>
      </xdr:nvSpPr>
      <xdr:spPr>
        <a:xfrm>
          <a:off x="6117580" y="5485270"/>
          <a:ext cx="1080000" cy="252000"/>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599649</xdr:colOff>
      <xdr:row>27</xdr:row>
      <xdr:rowOff>136406</xdr:rowOff>
    </xdr:from>
    <xdr:to>
      <xdr:col>11</xdr:col>
      <xdr:colOff>453442</xdr:colOff>
      <xdr:row>29</xdr:row>
      <xdr:rowOff>16165</xdr:rowOff>
    </xdr:to>
    <xdr:sp macro="" textlink="">
      <xdr:nvSpPr>
        <xdr:cNvPr id="50" name="Rectangle: Rounded Corners 49">
          <a:extLst>
            <a:ext uri="{FF2B5EF4-FFF2-40B4-BE49-F238E27FC236}">
              <a16:creationId xmlns:a16="http://schemas.microsoft.com/office/drawing/2014/main" id="{E74949AC-0BCF-408B-9853-A528AA4666D4}"/>
            </a:ext>
          </a:extLst>
        </xdr:cNvPr>
        <xdr:cNvSpPr/>
      </xdr:nvSpPr>
      <xdr:spPr>
        <a:xfrm>
          <a:off x="6117580" y="5161665"/>
          <a:ext cx="1080000" cy="252000"/>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599649</xdr:colOff>
      <xdr:row>25</xdr:row>
      <xdr:rowOff>120747</xdr:rowOff>
    </xdr:from>
    <xdr:to>
      <xdr:col>11</xdr:col>
      <xdr:colOff>453442</xdr:colOff>
      <xdr:row>27</xdr:row>
      <xdr:rowOff>505</xdr:rowOff>
    </xdr:to>
    <xdr:sp macro="" textlink="">
      <xdr:nvSpPr>
        <xdr:cNvPr id="51" name="Rectangle: Rounded Corners 50">
          <a:extLst>
            <a:ext uri="{FF2B5EF4-FFF2-40B4-BE49-F238E27FC236}">
              <a16:creationId xmlns:a16="http://schemas.microsoft.com/office/drawing/2014/main" id="{BE46248C-34C2-453C-9508-61970E6C52A5}"/>
            </a:ext>
          </a:extLst>
        </xdr:cNvPr>
        <xdr:cNvSpPr/>
      </xdr:nvSpPr>
      <xdr:spPr>
        <a:xfrm>
          <a:off x="6117580" y="4773764"/>
          <a:ext cx="1080000" cy="252000"/>
        </a:xfrm>
        <a:prstGeom prst="roundRect">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23</xdr:row>
      <xdr:rowOff>10947</xdr:rowOff>
    </xdr:from>
    <xdr:to>
      <xdr:col>11</xdr:col>
      <xdr:colOff>466896</xdr:colOff>
      <xdr:row>25</xdr:row>
      <xdr:rowOff>27478</xdr:rowOff>
    </xdr:to>
    <xdr:sp macro="" textlink="">
      <xdr:nvSpPr>
        <xdr:cNvPr id="52" name="Rectangle: Rounded Corners 51">
          <a:extLst>
            <a:ext uri="{FF2B5EF4-FFF2-40B4-BE49-F238E27FC236}">
              <a16:creationId xmlns:a16="http://schemas.microsoft.com/office/drawing/2014/main" id="{E4A03B9E-4229-42A6-ABFA-F32B4D750BEC}"/>
            </a:ext>
          </a:extLst>
        </xdr:cNvPr>
        <xdr:cNvSpPr/>
      </xdr:nvSpPr>
      <xdr:spPr>
        <a:xfrm>
          <a:off x="6131034" y="4291723"/>
          <a:ext cx="1080000" cy="388772"/>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152399</xdr:colOff>
      <xdr:row>1</xdr:row>
      <xdr:rowOff>0</xdr:rowOff>
    </xdr:from>
    <xdr:to>
      <xdr:col>17</xdr:col>
      <xdr:colOff>0</xdr:colOff>
      <xdr:row>35</xdr:row>
      <xdr:rowOff>0</xdr:rowOff>
    </xdr:to>
    <xdr:sp macro="" textlink="">
      <xdr:nvSpPr>
        <xdr:cNvPr id="4" name="Rectangle: Rounded Corners 3">
          <a:extLst>
            <a:ext uri="{FF2B5EF4-FFF2-40B4-BE49-F238E27FC236}">
              <a16:creationId xmlns:a16="http://schemas.microsoft.com/office/drawing/2014/main" id="{B09D4D1E-BD13-4B12-0CF0-C128DB831447}"/>
            </a:ext>
          </a:extLst>
        </xdr:cNvPr>
        <xdr:cNvSpPr/>
      </xdr:nvSpPr>
      <xdr:spPr>
        <a:xfrm>
          <a:off x="152399" y="188516"/>
          <a:ext cx="10136585" cy="6409531"/>
        </a:xfrm>
        <a:prstGeom prst="roundRect">
          <a:avLst>
            <a:gd name="adj" fmla="val 3721"/>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167105</xdr:colOff>
      <xdr:row>23</xdr:row>
      <xdr:rowOff>146524</xdr:rowOff>
    </xdr:from>
    <xdr:to>
      <xdr:col>3</xdr:col>
      <xdr:colOff>236947</xdr:colOff>
      <xdr:row>33</xdr:row>
      <xdr:rowOff>52664</xdr:rowOff>
    </xdr:to>
    <xdr:sp macro="" textlink="">
      <xdr:nvSpPr>
        <xdr:cNvPr id="5" name="Rectangle: Rounded Corners 4">
          <a:extLst>
            <a:ext uri="{FF2B5EF4-FFF2-40B4-BE49-F238E27FC236}">
              <a16:creationId xmlns:a16="http://schemas.microsoft.com/office/drawing/2014/main" id="{133CC4BB-BCB8-E63D-9B8F-788AC193B199}"/>
            </a:ext>
          </a:extLst>
        </xdr:cNvPr>
        <xdr:cNvSpPr/>
      </xdr:nvSpPr>
      <xdr:spPr>
        <a:xfrm>
          <a:off x="167105" y="4502401"/>
          <a:ext cx="1908000" cy="1800000"/>
        </a:xfrm>
        <a:prstGeom prst="roundRect">
          <a:avLst>
            <a:gd name="adj" fmla="val 8002"/>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208085</xdr:colOff>
      <xdr:row>7</xdr:row>
      <xdr:rowOff>150332</xdr:rowOff>
    </xdr:from>
    <xdr:to>
      <xdr:col>3</xdr:col>
      <xdr:colOff>277927</xdr:colOff>
      <xdr:row>23</xdr:row>
      <xdr:rowOff>32984</xdr:rowOff>
    </xdr:to>
    <xdr:sp macro="" textlink="">
      <xdr:nvSpPr>
        <xdr:cNvPr id="6" name="Rectangle: Rounded Corners 5">
          <a:extLst>
            <a:ext uri="{FF2B5EF4-FFF2-40B4-BE49-F238E27FC236}">
              <a16:creationId xmlns:a16="http://schemas.microsoft.com/office/drawing/2014/main" id="{8B1BDB4A-9F17-4E2A-9C95-2D1BDD75C18B}"/>
            </a:ext>
          </a:extLst>
        </xdr:cNvPr>
        <xdr:cNvSpPr/>
      </xdr:nvSpPr>
      <xdr:spPr>
        <a:xfrm>
          <a:off x="208085" y="1461971"/>
          <a:ext cx="1912383" cy="2880685"/>
        </a:xfrm>
        <a:prstGeom prst="roundRect">
          <a:avLst>
            <a:gd name="adj" fmla="val 490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403057</xdr:colOff>
      <xdr:row>20</xdr:row>
      <xdr:rowOff>174682</xdr:rowOff>
    </xdr:from>
    <xdr:to>
      <xdr:col>7</xdr:col>
      <xdr:colOff>400180</xdr:colOff>
      <xdr:row>33</xdr:row>
      <xdr:rowOff>52664</xdr:rowOff>
    </xdr:to>
    <xdr:sp macro="" textlink="">
      <xdr:nvSpPr>
        <xdr:cNvPr id="7" name="Rectangle: Rounded Corners 6">
          <a:extLst>
            <a:ext uri="{FF2B5EF4-FFF2-40B4-BE49-F238E27FC236}">
              <a16:creationId xmlns:a16="http://schemas.microsoft.com/office/drawing/2014/main" id="{C40DEC94-6DA6-4548-B605-947513F6F2ED}"/>
            </a:ext>
          </a:extLst>
        </xdr:cNvPr>
        <xdr:cNvSpPr/>
      </xdr:nvSpPr>
      <xdr:spPr>
        <a:xfrm>
          <a:off x="2241215" y="3962401"/>
          <a:ext cx="2448000" cy="2340000"/>
        </a:xfrm>
        <a:prstGeom prst="roundRect">
          <a:avLst>
            <a:gd name="adj" fmla="val 38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548104</xdr:colOff>
      <xdr:row>7</xdr:row>
      <xdr:rowOff>163540</xdr:rowOff>
    </xdr:from>
    <xdr:to>
      <xdr:col>11</xdr:col>
      <xdr:colOff>545227</xdr:colOff>
      <xdr:row>20</xdr:row>
      <xdr:rowOff>41523</xdr:rowOff>
    </xdr:to>
    <xdr:sp macro="" textlink="">
      <xdr:nvSpPr>
        <xdr:cNvPr id="9" name="Rectangle: Rounded Corners 8">
          <a:extLst>
            <a:ext uri="{FF2B5EF4-FFF2-40B4-BE49-F238E27FC236}">
              <a16:creationId xmlns:a16="http://schemas.microsoft.com/office/drawing/2014/main" id="{C9816EB8-476C-4CF1-B070-405644EBBE96}"/>
            </a:ext>
          </a:extLst>
        </xdr:cNvPr>
        <xdr:cNvSpPr/>
      </xdr:nvSpPr>
      <xdr:spPr>
        <a:xfrm>
          <a:off x="4847366" y="1475179"/>
          <a:ext cx="2453845" cy="2313885"/>
        </a:xfrm>
        <a:prstGeom prst="roundRect">
          <a:avLst>
            <a:gd name="adj" fmla="val 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403057</xdr:colOff>
      <xdr:row>7</xdr:row>
      <xdr:rowOff>185821</xdr:rowOff>
    </xdr:from>
    <xdr:to>
      <xdr:col>7</xdr:col>
      <xdr:colOff>400180</xdr:colOff>
      <xdr:row>14</xdr:row>
      <xdr:rowOff>0</xdr:rowOff>
    </xdr:to>
    <xdr:sp macro="" textlink="">
      <xdr:nvSpPr>
        <xdr:cNvPr id="10" name="Rectangle: Rounded Corners 9">
          <a:extLst>
            <a:ext uri="{FF2B5EF4-FFF2-40B4-BE49-F238E27FC236}">
              <a16:creationId xmlns:a16="http://schemas.microsoft.com/office/drawing/2014/main" id="{B74E1E38-8F9B-4AB0-BE7D-D899968DADC3}"/>
            </a:ext>
          </a:extLst>
        </xdr:cNvPr>
        <xdr:cNvSpPr/>
      </xdr:nvSpPr>
      <xdr:spPr>
        <a:xfrm>
          <a:off x="2241215" y="1511523"/>
          <a:ext cx="2448000" cy="1139881"/>
        </a:xfrm>
        <a:prstGeom prst="roundRect">
          <a:avLst>
            <a:gd name="adj" fmla="val 61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421773</xdr:colOff>
      <xdr:row>14</xdr:row>
      <xdr:rowOff>114430</xdr:rowOff>
    </xdr:from>
    <xdr:to>
      <xdr:col>5</xdr:col>
      <xdr:colOff>366335</xdr:colOff>
      <xdr:row>20</xdr:row>
      <xdr:rowOff>58115</xdr:rowOff>
    </xdr:to>
    <xdr:sp macro="" textlink="">
      <xdr:nvSpPr>
        <xdr:cNvPr id="11" name="Rectangle: Rounded Corners 10">
          <a:extLst>
            <a:ext uri="{FF2B5EF4-FFF2-40B4-BE49-F238E27FC236}">
              <a16:creationId xmlns:a16="http://schemas.microsoft.com/office/drawing/2014/main" id="{59DE7265-208D-441C-90FF-B2A7E696C730}"/>
            </a:ext>
          </a:extLst>
        </xdr:cNvPr>
        <xdr:cNvSpPr/>
      </xdr:nvSpPr>
      <xdr:spPr>
        <a:xfrm>
          <a:off x="2264314" y="2737709"/>
          <a:ext cx="1172923" cy="1067947"/>
        </a:xfrm>
        <a:prstGeom prst="roundRect">
          <a:avLst>
            <a:gd name="adj" fmla="val 61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473911</xdr:colOff>
      <xdr:row>14</xdr:row>
      <xdr:rowOff>152400</xdr:rowOff>
    </xdr:from>
    <xdr:to>
      <xdr:col>7</xdr:col>
      <xdr:colOff>418472</xdr:colOff>
      <xdr:row>20</xdr:row>
      <xdr:rowOff>96085</xdr:rowOff>
    </xdr:to>
    <xdr:sp macro="" textlink="">
      <xdr:nvSpPr>
        <xdr:cNvPr id="12" name="Rectangle: Rounded Corners 11">
          <a:extLst>
            <a:ext uri="{FF2B5EF4-FFF2-40B4-BE49-F238E27FC236}">
              <a16:creationId xmlns:a16="http://schemas.microsoft.com/office/drawing/2014/main" id="{32BD59C9-124F-4048-8F00-425512D1A375}"/>
            </a:ext>
          </a:extLst>
        </xdr:cNvPr>
        <xdr:cNvSpPr/>
      </xdr:nvSpPr>
      <xdr:spPr>
        <a:xfrm>
          <a:off x="3544813" y="2775679"/>
          <a:ext cx="1172921" cy="1067947"/>
        </a:xfrm>
        <a:prstGeom prst="roundRect">
          <a:avLst>
            <a:gd name="adj" fmla="val 61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210330</xdr:colOff>
      <xdr:row>28</xdr:row>
      <xdr:rowOff>16134</xdr:rowOff>
    </xdr:from>
    <xdr:to>
      <xdr:col>14</xdr:col>
      <xdr:colOff>166138</xdr:colOff>
      <xdr:row>34</xdr:row>
      <xdr:rowOff>5499</xdr:rowOff>
    </xdr:to>
    <xdr:sp macro="" textlink="">
      <xdr:nvSpPr>
        <xdr:cNvPr id="13" name="Rectangle: Rounded Corners 12">
          <a:extLst>
            <a:ext uri="{FF2B5EF4-FFF2-40B4-BE49-F238E27FC236}">
              <a16:creationId xmlns:a16="http://schemas.microsoft.com/office/drawing/2014/main" id="{3BD16028-C539-4B54-995A-DF1EC032588B}"/>
            </a:ext>
          </a:extLst>
        </xdr:cNvPr>
        <xdr:cNvSpPr/>
      </xdr:nvSpPr>
      <xdr:spPr>
        <a:xfrm>
          <a:off x="7567571" y="5227513"/>
          <a:ext cx="1182015" cy="1106089"/>
        </a:xfrm>
        <a:prstGeom prst="roundRect">
          <a:avLst>
            <a:gd name="adj" fmla="val 836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434106</xdr:colOff>
      <xdr:row>27</xdr:row>
      <xdr:rowOff>171100</xdr:rowOff>
    </xdr:from>
    <xdr:to>
      <xdr:col>16</xdr:col>
      <xdr:colOff>389913</xdr:colOff>
      <xdr:row>33</xdr:row>
      <xdr:rowOff>67665</xdr:rowOff>
    </xdr:to>
    <xdr:sp macro="" textlink="">
      <xdr:nvSpPr>
        <xdr:cNvPr id="14" name="Rectangle: Rounded Corners 13">
          <a:extLst>
            <a:ext uri="{FF2B5EF4-FFF2-40B4-BE49-F238E27FC236}">
              <a16:creationId xmlns:a16="http://schemas.microsoft.com/office/drawing/2014/main" id="{29486875-F1EC-4597-9D33-3A18B30D8BE4}"/>
            </a:ext>
          </a:extLst>
        </xdr:cNvPr>
        <xdr:cNvSpPr/>
      </xdr:nvSpPr>
      <xdr:spPr>
        <a:xfrm>
          <a:off x="9017554" y="5196359"/>
          <a:ext cx="1182014" cy="1013289"/>
        </a:xfrm>
        <a:prstGeom prst="roundRect">
          <a:avLst>
            <a:gd name="adj" fmla="val 638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396786</xdr:colOff>
      <xdr:row>21</xdr:row>
      <xdr:rowOff>81224</xdr:rowOff>
    </xdr:from>
    <xdr:to>
      <xdr:col>16</xdr:col>
      <xdr:colOff>352593</xdr:colOff>
      <xdr:row>27</xdr:row>
      <xdr:rowOff>70589</xdr:rowOff>
    </xdr:to>
    <xdr:sp macro="" textlink="">
      <xdr:nvSpPr>
        <xdr:cNvPr id="16" name="Rectangle: Rounded Corners 15">
          <a:extLst>
            <a:ext uri="{FF2B5EF4-FFF2-40B4-BE49-F238E27FC236}">
              <a16:creationId xmlns:a16="http://schemas.microsoft.com/office/drawing/2014/main" id="{730D182A-7B93-4391-ACB9-1B56F18F5EC2}"/>
            </a:ext>
          </a:extLst>
        </xdr:cNvPr>
        <xdr:cNvSpPr/>
      </xdr:nvSpPr>
      <xdr:spPr>
        <a:xfrm>
          <a:off x="8980234" y="3989758"/>
          <a:ext cx="1182014" cy="1106090"/>
        </a:xfrm>
        <a:prstGeom prst="roundRect">
          <a:avLst>
            <a:gd name="adj" fmla="val 1825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aseline="0">
            <a:solidFill>
              <a:schemeClr val="lt1"/>
            </a:solidFill>
            <a:latin typeface="+mn-lt"/>
            <a:ea typeface="+mn-ea"/>
            <a:cs typeface="+mn-cs"/>
          </a:endParaRPr>
        </a:p>
      </xdr:txBody>
    </xdr:sp>
    <xdr:clientData/>
  </xdr:twoCellAnchor>
  <xdr:twoCellAnchor>
    <xdr:from>
      <xdr:col>12</xdr:col>
      <xdr:colOff>178246</xdr:colOff>
      <xdr:row>10</xdr:row>
      <xdr:rowOff>80442</xdr:rowOff>
    </xdr:from>
    <xdr:to>
      <xdr:col>16</xdr:col>
      <xdr:colOff>389913</xdr:colOff>
      <xdr:row>19</xdr:row>
      <xdr:rowOff>31969</xdr:rowOff>
    </xdr:to>
    <xdr:sp macro="" textlink="">
      <xdr:nvSpPr>
        <xdr:cNvPr id="18" name="Rectangle: Rounded Corners 17">
          <a:extLst>
            <a:ext uri="{FF2B5EF4-FFF2-40B4-BE49-F238E27FC236}">
              <a16:creationId xmlns:a16="http://schemas.microsoft.com/office/drawing/2014/main" id="{66258CD4-9FF5-4AB0-B3AD-011CD4075D50}"/>
            </a:ext>
          </a:extLst>
        </xdr:cNvPr>
        <xdr:cNvSpPr/>
      </xdr:nvSpPr>
      <xdr:spPr>
        <a:xfrm>
          <a:off x="7535487" y="1941649"/>
          <a:ext cx="2664081" cy="1626613"/>
        </a:xfrm>
        <a:prstGeom prst="roundRect">
          <a:avLst>
            <a:gd name="adj" fmla="val 1132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174680</xdr:colOff>
      <xdr:row>2</xdr:row>
      <xdr:rowOff>87586</xdr:rowOff>
    </xdr:from>
    <xdr:to>
      <xdr:col>16</xdr:col>
      <xdr:colOff>386347</xdr:colOff>
      <xdr:row>9</xdr:row>
      <xdr:rowOff>180371</xdr:rowOff>
    </xdr:to>
    <xdr:sp macro="" textlink="">
      <xdr:nvSpPr>
        <xdr:cNvPr id="19" name="Rectangle: Rounded Corners 18">
          <a:extLst>
            <a:ext uri="{FF2B5EF4-FFF2-40B4-BE49-F238E27FC236}">
              <a16:creationId xmlns:a16="http://schemas.microsoft.com/office/drawing/2014/main" id="{598E5F7A-73FC-4280-B49B-B870CC64F111}"/>
            </a:ext>
          </a:extLst>
        </xdr:cNvPr>
        <xdr:cNvSpPr/>
      </xdr:nvSpPr>
      <xdr:spPr>
        <a:xfrm>
          <a:off x="7531921" y="459827"/>
          <a:ext cx="2664081" cy="1395630"/>
        </a:xfrm>
        <a:prstGeom prst="roundRect">
          <a:avLst>
            <a:gd name="adj" fmla="val 1132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506440</xdr:colOff>
      <xdr:row>21</xdr:row>
      <xdr:rowOff>27405</xdr:rowOff>
    </xdr:from>
    <xdr:to>
      <xdr:col>16</xdr:col>
      <xdr:colOff>195401</xdr:colOff>
      <xdr:row>24</xdr:row>
      <xdr:rowOff>89123</xdr:rowOff>
    </xdr:to>
    <xdr:sp macro="" textlink="">
      <xdr:nvSpPr>
        <xdr:cNvPr id="21" name="TextBox 20">
          <a:extLst>
            <a:ext uri="{FF2B5EF4-FFF2-40B4-BE49-F238E27FC236}">
              <a16:creationId xmlns:a16="http://schemas.microsoft.com/office/drawing/2014/main" id="{626CD11C-5FFF-DA13-1535-19868AC63179}"/>
            </a:ext>
          </a:extLst>
        </xdr:cNvPr>
        <xdr:cNvSpPr txBox="1"/>
      </xdr:nvSpPr>
      <xdr:spPr>
        <a:xfrm>
          <a:off x="9084510" y="4004510"/>
          <a:ext cx="914400" cy="629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Part </a:t>
          </a:r>
        </a:p>
        <a:p>
          <a:r>
            <a:rPr lang="en-IN" sz="1100">
              <a:solidFill>
                <a:schemeClr val="bg1"/>
              </a:solidFill>
            </a:rPr>
            <a:t>Time Employee</a:t>
          </a:r>
        </a:p>
      </xdr:txBody>
    </xdr:sp>
    <xdr:clientData/>
  </xdr:twoCellAnchor>
  <xdr:oneCellAnchor>
    <xdr:from>
      <xdr:col>15</xdr:col>
      <xdr:colOff>523597</xdr:colOff>
      <xdr:row>24</xdr:row>
      <xdr:rowOff>89123</xdr:rowOff>
    </xdr:from>
    <xdr:ext cx="184731" cy="264560"/>
    <xdr:sp macro="" textlink="">
      <xdr:nvSpPr>
        <xdr:cNvPr id="22" name="TextBox 21">
          <a:extLst>
            <a:ext uri="{FF2B5EF4-FFF2-40B4-BE49-F238E27FC236}">
              <a16:creationId xmlns:a16="http://schemas.microsoft.com/office/drawing/2014/main" id="{83691E32-9A1C-21C7-9806-F3CDB69B8DC1}"/>
            </a:ext>
          </a:extLst>
        </xdr:cNvPr>
        <xdr:cNvSpPr txBox="1"/>
      </xdr:nvSpPr>
      <xdr:spPr>
        <a:xfrm>
          <a:off x="9714386" y="46343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267368</xdr:colOff>
      <xdr:row>24</xdr:row>
      <xdr:rowOff>12700</xdr:rowOff>
    </xdr:from>
    <xdr:to>
      <xdr:col>16</xdr:col>
      <xdr:colOff>303239</xdr:colOff>
      <xdr:row>26</xdr:row>
      <xdr:rowOff>111403</xdr:rowOff>
    </xdr:to>
    <xdr:sp macro="" textlink="'pivot tables'!C12">
      <xdr:nvSpPr>
        <xdr:cNvPr id="23" name="TextBox 22">
          <a:extLst>
            <a:ext uri="{FF2B5EF4-FFF2-40B4-BE49-F238E27FC236}">
              <a16:creationId xmlns:a16="http://schemas.microsoft.com/office/drawing/2014/main" id="{3F161D62-3C9F-438D-8FCD-56B9490F3A5F}"/>
            </a:ext>
          </a:extLst>
        </xdr:cNvPr>
        <xdr:cNvSpPr txBox="1"/>
      </xdr:nvSpPr>
      <xdr:spPr>
        <a:xfrm>
          <a:off x="9458157" y="4557963"/>
          <a:ext cx="648591" cy="477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2688A3-DA46-44C7-BC9B-CBFC988F4DA8}" type="TxLink">
            <a:rPr lang="en-US" sz="3200" b="1" i="0" u="none" strike="noStrike">
              <a:solidFill>
                <a:schemeClr val="bg1"/>
              </a:solidFill>
              <a:latin typeface="Kulim park"/>
            </a:rPr>
            <a:pPr/>
            <a:t>13</a:t>
          </a:fld>
          <a:endParaRPr lang="en-IN" sz="3200" b="1">
            <a:solidFill>
              <a:schemeClr val="bg1"/>
            </a:solidFill>
            <a:latin typeface="Kulim park"/>
          </a:endParaRPr>
        </a:p>
      </xdr:txBody>
    </xdr:sp>
    <xdr:clientData/>
  </xdr:twoCellAnchor>
  <xdr:twoCellAnchor>
    <xdr:from>
      <xdr:col>14</xdr:col>
      <xdr:colOff>491735</xdr:colOff>
      <xdr:row>27</xdr:row>
      <xdr:rowOff>171100</xdr:rowOff>
    </xdr:from>
    <xdr:to>
      <xdr:col>16</xdr:col>
      <xdr:colOff>180696</xdr:colOff>
      <xdr:row>31</xdr:row>
      <xdr:rowOff>46698</xdr:rowOff>
    </xdr:to>
    <xdr:sp macro="" textlink="">
      <xdr:nvSpPr>
        <xdr:cNvPr id="24" name="TextBox 23">
          <a:extLst>
            <a:ext uri="{FF2B5EF4-FFF2-40B4-BE49-F238E27FC236}">
              <a16:creationId xmlns:a16="http://schemas.microsoft.com/office/drawing/2014/main" id="{AD4AA5A6-68CF-4035-88D2-8353641D2563}"/>
            </a:ext>
          </a:extLst>
        </xdr:cNvPr>
        <xdr:cNvSpPr txBox="1"/>
      </xdr:nvSpPr>
      <xdr:spPr>
        <a:xfrm>
          <a:off x="9075183" y="5196359"/>
          <a:ext cx="915168" cy="62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Full</a:t>
          </a:r>
        </a:p>
        <a:p>
          <a:r>
            <a:rPr lang="en-IN" sz="1100">
              <a:solidFill>
                <a:schemeClr val="bg1"/>
              </a:solidFill>
            </a:rPr>
            <a:t>Time Employee</a:t>
          </a:r>
        </a:p>
      </xdr:txBody>
    </xdr:sp>
    <xdr:clientData/>
  </xdr:twoCellAnchor>
  <xdr:twoCellAnchor>
    <xdr:from>
      <xdr:col>15</xdr:col>
      <xdr:colOff>263803</xdr:colOff>
      <xdr:row>30</xdr:row>
      <xdr:rowOff>87117</xdr:rowOff>
    </xdr:from>
    <xdr:to>
      <xdr:col>16</xdr:col>
      <xdr:colOff>299674</xdr:colOff>
      <xdr:row>32</xdr:row>
      <xdr:rowOff>185820</xdr:rowOff>
    </xdr:to>
    <xdr:sp macro="" textlink="'pivot tables'!C11">
      <xdr:nvSpPr>
        <xdr:cNvPr id="25" name="TextBox 24">
          <a:extLst>
            <a:ext uri="{FF2B5EF4-FFF2-40B4-BE49-F238E27FC236}">
              <a16:creationId xmlns:a16="http://schemas.microsoft.com/office/drawing/2014/main" id="{3966C85E-5E8D-4FC8-9C95-D6025DF582A7}"/>
            </a:ext>
          </a:extLst>
        </xdr:cNvPr>
        <xdr:cNvSpPr txBox="1"/>
      </xdr:nvSpPr>
      <xdr:spPr>
        <a:xfrm>
          <a:off x="9454592" y="5768696"/>
          <a:ext cx="648591" cy="477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6B4570-834E-4E19-8B28-3E9BC784097B}" type="TxLink">
            <a:rPr lang="en-US" sz="3200" b="1" i="0" u="none" strike="noStrike">
              <a:solidFill>
                <a:schemeClr val="bg1"/>
              </a:solidFill>
              <a:latin typeface="Aptos Narrow"/>
            </a:rPr>
            <a:pPr/>
            <a:t>20</a:t>
          </a:fld>
          <a:endParaRPr lang="en-IN" sz="3200" b="1">
            <a:solidFill>
              <a:schemeClr val="bg1"/>
            </a:solidFill>
            <a:latin typeface="Kulim park"/>
          </a:endParaRPr>
        </a:p>
      </xdr:txBody>
    </xdr:sp>
    <xdr:clientData/>
  </xdr:twoCellAnchor>
  <xdr:twoCellAnchor>
    <xdr:from>
      <xdr:col>12</xdr:col>
      <xdr:colOff>266956</xdr:colOff>
      <xdr:row>28</xdr:row>
      <xdr:rowOff>37006</xdr:rowOff>
    </xdr:from>
    <xdr:to>
      <xdr:col>13</xdr:col>
      <xdr:colOff>562819</xdr:colOff>
      <xdr:row>31</xdr:row>
      <xdr:rowOff>99401</xdr:rowOff>
    </xdr:to>
    <xdr:sp macro="" textlink="">
      <xdr:nvSpPr>
        <xdr:cNvPr id="30" name="TextBox 29">
          <a:extLst>
            <a:ext uri="{FF2B5EF4-FFF2-40B4-BE49-F238E27FC236}">
              <a16:creationId xmlns:a16="http://schemas.microsoft.com/office/drawing/2014/main" id="{73C2E66F-891C-0532-6FF4-70F3B568140A}"/>
            </a:ext>
          </a:extLst>
        </xdr:cNvPr>
        <xdr:cNvSpPr txBox="1"/>
      </xdr:nvSpPr>
      <xdr:spPr>
        <a:xfrm>
          <a:off x="7624197" y="5248385"/>
          <a:ext cx="908967" cy="62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Employees</a:t>
          </a:r>
        </a:p>
        <a:p>
          <a:r>
            <a:rPr lang="en-IN" sz="1100">
              <a:solidFill>
                <a:schemeClr val="bg1"/>
              </a:solidFill>
            </a:rPr>
            <a:t> with</a:t>
          </a:r>
        </a:p>
        <a:p>
          <a:r>
            <a:rPr lang="en-IN" sz="1100">
              <a:solidFill>
                <a:schemeClr val="bg1"/>
              </a:solidFill>
            </a:rPr>
            <a:t> Contracts</a:t>
          </a:r>
        </a:p>
      </xdr:txBody>
    </xdr:sp>
    <xdr:clientData/>
  </xdr:twoCellAnchor>
  <xdr:twoCellAnchor>
    <xdr:from>
      <xdr:col>13</xdr:col>
      <xdr:colOff>55882</xdr:colOff>
      <xdr:row>30</xdr:row>
      <xdr:rowOff>120834</xdr:rowOff>
    </xdr:from>
    <xdr:to>
      <xdr:col>14</xdr:col>
      <xdr:colOff>91753</xdr:colOff>
      <xdr:row>33</xdr:row>
      <xdr:rowOff>34094</xdr:rowOff>
    </xdr:to>
    <xdr:sp macro="" textlink="'pivot tables'!C10">
      <xdr:nvSpPr>
        <xdr:cNvPr id="31" name="TextBox 30">
          <a:extLst>
            <a:ext uri="{FF2B5EF4-FFF2-40B4-BE49-F238E27FC236}">
              <a16:creationId xmlns:a16="http://schemas.microsoft.com/office/drawing/2014/main" id="{C16A6D7F-B9E1-8096-0133-EF00E7464ECF}"/>
            </a:ext>
          </a:extLst>
        </xdr:cNvPr>
        <xdr:cNvSpPr txBox="1"/>
      </xdr:nvSpPr>
      <xdr:spPr>
        <a:xfrm>
          <a:off x="7945617" y="5684108"/>
          <a:ext cx="642773" cy="46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88ABA36-06DF-4007-A32E-04B1620237D9}" type="TxLink">
            <a:rPr lang="en-US" sz="3200" b="1" i="0" u="none" strike="noStrike">
              <a:solidFill>
                <a:schemeClr val="bg1"/>
              </a:solidFill>
              <a:latin typeface="Kulim park"/>
              <a:ea typeface="+mn-ea"/>
              <a:cs typeface="+mn-cs"/>
            </a:rPr>
            <a:pPr marL="0" indent="0"/>
            <a:t>17</a:t>
          </a:fld>
          <a:endParaRPr lang="en-IN" sz="3200" b="1" i="0" u="none" strike="noStrike">
            <a:solidFill>
              <a:schemeClr val="bg1"/>
            </a:solidFill>
            <a:latin typeface="Kulim park"/>
            <a:ea typeface="+mn-ea"/>
            <a:cs typeface="+mn-cs"/>
          </a:endParaRPr>
        </a:p>
      </xdr:txBody>
    </xdr:sp>
    <xdr:clientData/>
  </xdr:twoCellAnchor>
  <xdr:twoCellAnchor>
    <xdr:from>
      <xdr:col>8</xdr:col>
      <xdr:colOff>16039</xdr:colOff>
      <xdr:row>23</xdr:row>
      <xdr:rowOff>1</xdr:rowOff>
    </xdr:from>
    <xdr:to>
      <xdr:col>9</xdr:col>
      <xdr:colOff>446373</xdr:colOff>
      <xdr:row>25</xdr:row>
      <xdr:rowOff>16530</xdr:rowOff>
    </xdr:to>
    <xdr:sp macro="" textlink="">
      <xdr:nvSpPr>
        <xdr:cNvPr id="32" name="TextBox 31">
          <a:extLst>
            <a:ext uri="{FF2B5EF4-FFF2-40B4-BE49-F238E27FC236}">
              <a16:creationId xmlns:a16="http://schemas.microsoft.com/office/drawing/2014/main" id="{3C217192-5AE6-33B6-9394-56D79345EE3A}"/>
            </a:ext>
          </a:extLst>
        </xdr:cNvPr>
        <xdr:cNvSpPr txBox="1"/>
      </xdr:nvSpPr>
      <xdr:spPr>
        <a:xfrm>
          <a:off x="4920867" y="4280777"/>
          <a:ext cx="1043437" cy="38877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Kulim park"/>
            </a:rPr>
            <a:t>Total</a:t>
          </a:r>
          <a:r>
            <a:rPr lang="en-IN" sz="1100" b="1" baseline="0">
              <a:solidFill>
                <a:schemeClr val="bg1"/>
              </a:solidFill>
              <a:latin typeface="Kulim park"/>
            </a:rPr>
            <a:t> </a:t>
          </a:r>
          <a:r>
            <a:rPr lang="en-IN" sz="1100" b="1">
              <a:solidFill>
                <a:schemeClr val="bg1"/>
              </a:solidFill>
              <a:latin typeface="Kulim park"/>
            </a:rPr>
            <a:t>Salaries</a:t>
          </a:r>
        </a:p>
      </xdr:txBody>
    </xdr:sp>
    <xdr:clientData/>
  </xdr:twoCellAnchor>
  <xdr:twoCellAnchor>
    <xdr:from>
      <xdr:col>8</xdr:col>
      <xdr:colOff>9504</xdr:colOff>
      <xdr:row>25</xdr:row>
      <xdr:rowOff>120146</xdr:rowOff>
    </xdr:from>
    <xdr:to>
      <xdr:col>9</xdr:col>
      <xdr:colOff>439839</xdr:colOff>
      <xdr:row>27</xdr:row>
      <xdr:rowOff>0</xdr:rowOff>
    </xdr:to>
    <xdr:sp macro="" textlink="">
      <xdr:nvSpPr>
        <xdr:cNvPr id="33" name="TextBox 32">
          <a:extLst>
            <a:ext uri="{FF2B5EF4-FFF2-40B4-BE49-F238E27FC236}">
              <a16:creationId xmlns:a16="http://schemas.microsoft.com/office/drawing/2014/main" id="{9AFCFC49-7976-7C12-5C1B-1C28E2348746}"/>
            </a:ext>
          </a:extLst>
        </xdr:cNvPr>
        <xdr:cNvSpPr txBox="1"/>
      </xdr:nvSpPr>
      <xdr:spPr>
        <a:xfrm>
          <a:off x="4922947" y="4804572"/>
          <a:ext cx="1044515" cy="25460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a:rPr>
            <a:t>Manager</a:t>
          </a:r>
        </a:p>
      </xdr:txBody>
    </xdr:sp>
    <xdr:clientData/>
  </xdr:twoCellAnchor>
  <xdr:twoCellAnchor>
    <xdr:from>
      <xdr:col>8</xdr:col>
      <xdr:colOff>6305</xdr:colOff>
      <xdr:row>27</xdr:row>
      <xdr:rowOff>117281</xdr:rowOff>
    </xdr:from>
    <xdr:to>
      <xdr:col>9</xdr:col>
      <xdr:colOff>460796</xdr:colOff>
      <xdr:row>28</xdr:row>
      <xdr:rowOff>162929</xdr:rowOff>
    </xdr:to>
    <xdr:sp macro="" textlink="">
      <xdr:nvSpPr>
        <xdr:cNvPr id="34" name="TextBox 33">
          <a:extLst>
            <a:ext uri="{FF2B5EF4-FFF2-40B4-BE49-F238E27FC236}">
              <a16:creationId xmlns:a16="http://schemas.microsoft.com/office/drawing/2014/main" id="{25DF6F93-428D-7035-6C8D-099EBF87B293}"/>
            </a:ext>
          </a:extLst>
        </xdr:cNvPr>
        <xdr:cNvSpPr txBox="1"/>
      </xdr:nvSpPr>
      <xdr:spPr>
        <a:xfrm>
          <a:off x="4911133" y="5142540"/>
          <a:ext cx="1067594" cy="2317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a:rPr>
            <a:t>HR</a:t>
          </a:r>
          <a:r>
            <a:rPr lang="en-IN" sz="1100" baseline="0">
              <a:solidFill>
                <a:schemeClr val="bg1"/>
              </a:solidFill>
              <a:latin typeface="Kulim park"/>
            </a:rPr>
            <a:t> Speacilists</a:t>
          </a:r>
          <a:endParaRPr lang="en-IN" sz="1100">
            <a:solidFill>
              <a:schemeClr val="bg1"/>
            </a:solidFill>
            <a:latin typeface="Kulim park"/>
          </a:endParaRPr>
        </a:p>
      </xdr:txBody>
    </xdr:sp>
    <xdr:clientData/>
  </xdr:twoCellAnchor>
  <xdr:twoCellAnchor>
    <xdr:from>
      <xdr:col>8</xdr:col>
      <xdr:colOff>686</xdr:colOff>
      <xdr:row>29</xdr:row>
      <xdr:rowOff>74509</xdr:rowOff>
    </xdr:from>
    <xdr:to>
      <xdr:col>9</xdr:col>
      <xdr:colOff>455177</xdr:colOff>
      <xdr:row>30</xdr:row>
      <xdr:rowOff>120834</xdr:rowOff>
    </xdr:to>
    <xdr:sp macro="" textlink="">
      <xdr:nvSpPr>
        <xdr:cNvPr id="37" name="TextBox 36">
          <a:extLst>
            <a:ext uri="{FF2B5EF4-FFF2-40B4-BE49-F238E27FC236}">
              <a16:creationId xmlns:a16="http://schemas.microsoft.com/office/drawing/2014/main" id="{52296DBF-3B49-5F27-4D4F-FB9AE2C42B3D}"/>
            </a:ext>
          </a:extLst>
        </xdr:cNvPr>
        <xdr:cNvSpPr txBox="1"/>
      </xdr:nvSpPr>
      <xdr:spPr>
        <a:xfrm>
          <a:off x="4905514" y="5472009"/>
          <a:ext cx="1067594" cy="2324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a:rPr>
            <a:t>Designers</a:t>
          </a:r>
        </a:p>
      </xdr:txBody>
    </xdr:sp>
    <xdr:clientData/>
  </xdr:twoCellAnchor>
  <xdr:twoCellAnchor>
    <xdr:from>
      <xdr:col>7</xdr:col>
      <xdr:colOff>612111</xdr:colOff>
      <xdr:row>31</xdr:row>
      <xdr:rowOff>11815</xdr:rowOff>
    </xdr:from>
    <xdr:to>
      <xdr:col>9</xdr:col>
      <xdr:colOff>453498</xdr:colOff>
      <xdr:row>32</xdr:row>
      <xdr:rowOff>57463</xdr:rowOff>
    </xdr:to>
    <xdr:sp macro="" textlink="">
      <xdr:nvSpPr>
        <xdr:cNvPr id="38" name="TextBox 37">
          <a:extLst>
            <a:ext uri="{FF2B5EF4-FFF2-40B4-BE49-F238E27FC236}">
              <a16:creationId xmlns:a16="http://schemas.microsoft.com/office/drawing/2014/main" id="{58831EC7-1288-804E-7CDD-59A21B9B2958}"/>
            </a:ext>
          </a:extLst>
        </xdr:cNvPr>
        <xdr:cNvSpPr txBox="1"/>
      </xdr:nvSpPr>
      <xdr:spPr>
        <a:xfrm>
          <a:off x="4903835" y="5781556"/>
          <a:ext cx="1067594" cy="231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a:rPr>
            <a:t>Analysts</a:t>
          </a:r>
        </a:p>
      </xdr:txBody>
    </xdr:sp>
    <xdr:clientData/>
  </xdr:twoCellAnchor>
  <xdr:twoCellAnchor>
    <xdr:from>
      <xdr:col>10</xdr:col>
      <xdr:colOff>15811</xdr:colOff>
      <xdr:row>23</xdr:row>
      <xdr:rowOff>10948</xdr:rowOff>
    </xdr:from>
    <xdr:to>
      <xdr:col>11</xdr:col>
      <xdr:colOff>453442</xdr:colOff>
      <xdr:row>25</xdr:row>
      <xdr:rowOff>16528</xdr:rowOff>
    </xdr:to>
    <xdr:sp macro="" textlink="'pivot tables'!F17">
      <xdr:nvSpPr>
        <xdr:cNvPr id="39" name="TextBox 38">
          <a:extLst>
            <a:ext uri="{FF2B5EF4-FFF2-40B4-BE49-F238E27FC236}">
              <a16:creationId xmlns:a16="http://schemas.microsoft.com/office/drawing/2014/main" id="{EB8D675A-47E0-7B89-26F9-9F64C15B4083}"/>
            </a:ext>
          </a:extLst>
        </xdr:cNvPr>
        <xdr:cNvSpPr txBox="1"/>
      </xdr:nvSpPr>
      <xdr:spPr>
        <a:xfrm>
          <a:off x="6146845" y="4291724"/>
          <a:ext cx="1050735" cy="377821"/>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0C2BA9D-CA4F-4F74-905E-D45BD60EE1F4}" type="TxLink">
            <a:rPr lang="en-US" sz="1400" b="1">
              <a:solidFill>
                <a:schemeClr val="bg1"/>
              </a:solidFill>
              <a:latin typeface="Kulim park"/>
              <a:ea typeface="+mn-ea"/>
              <a:cs typeface="+mn-cs"/>
            </a:rPr>
            <a:pPr marL="0" indent="0" algn="r"/>
            <a:t> 31,04,913 </a:t>
          </a:fld>
          <a:endParaRPr lang="en-IN" sz="1400" b="1">
            <a:solidFill>
              <a:schemeClr val="bg1"/>
            </a:solidFill>
            <a:latin typeface="Kulim park"/>
            <a:ea typeface="+mn-ea"/>
            <a:cs typeface="+mn-cs"/>
          </a:endParaRPr>
        </a:p>
      </xdr:txBody>
    </xdr:sp>
    <xdr:clientData/>
  </xdr:twoCellAnchor>
  <xdr:twoCellAnchor>
    <xdr:from>
      <xdr:col>10</xdr:col>
      <xdr:colOff>23108</xdr:colOff>
      <xdr:row>25</xdr:row>
      <xdr:rowOff>109197</xdr:rowOff>
    </xdr:from>
    <xdr:to>
      <xdr:col>11</xdr:col>
      <xdr:colOff>453442</xdr:colOff>
      <xdr:row>26</xdr:row>
      <xdr:rowOff>175172</xdr:rowOff>
    </xdr:to>
    <xdr:sp macro="" textlink="'pivot tables'!F16">
      <xdr:nvSpPr>
        <xdr:cNvPr id="40" name="TextBox 39">
          <a:extLst>
            <a:ext uri="{FF2B5EF4-FFF2-40B4-BE49-F238E27FC236}">
              <a16:creationId xmlns:a16="http://schemas.microsoft.com/office/drawing/2014/main" id="{34B19E20-D7F0-55BF-3EA7-E293CC6F1FAA}"/>
            </a:ext>
          </a:extLst>
        </xdr:cNvPr>
        <xdr:cNvSpPr txBox="1"/>
      </xdr:nvSpPr>
      <xdr:spPr>
        <a:xfrm>
          <a:off x="6154142" y="4762214"/>
          <a:ext cx="1043438" cy="252096"/>
        </a:xfrm>
        <a:prstGeom prst="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AEB08A52-A3D9-499A-989D-4210C2F95886}" type="TxLink">
            <a:rPr lang="en-US" sz="1400" b="1">
              <a:solidFill>
                <a:schemeClr val="lt1"/>
              </a:solidFill>
              <a:latin typeface="Kulim park"/>
              <a:ea typeface="+mn-ea"/>
              <a:cs typeface="+mn-cs"/>
            </a:rPr>
            <a:pPr marL="0" indent="0" algn="r"/>
            <a:t> 7,31,170 </a:t>
          </a:fld>
          <a:endParaRPr lang="en-IN" sz="1400" b="1">
            <a:solidFill>
              <a:schemeClr val="lt1"/>
            </a:solidFill>
            <a:latin typeface="Kulim park"/>
            <a:ea typeface="+mn-ea"/>
            <a:cs typeface="+mn-cs"/>
          </a:endParaRPr>
        </a:p>
      </xdr:txBody>
    </xdr:sp>
    <xdr:clientData/>
  </xdr:twoCellAnchor>
  <xdr:twoCellAnchor>
    <xdr:from>
      <xdr:col>9</xdr:col>
      <xdr:colOff>612055</xdr:colOff>
      <xdr:row>27</xdr:row>
      <xdr:rowOff>106332</xdr:rowOff>
    </xdr:from>
    <xdr:to>
      <xdr:col>11</xdr:col>
      <xdr:colOff>453442</xdr:colOff>
      <xdr:row>28</xdr:row>
      <xdr:rowOff>151980</xdr:rowOff>
    </xdr:to>
    <xdr:sp macro="" textlink="'pivot tables'!F15">
      <xdr:nvSpPr>
        <xdr:cNvPr id="41" name="TextBox 40">
          <a:extLst>
            <a:ext uri="{FF2B5EF4-FFF2-40B4-BE49-F238E27FC236}">
              <a16:creationId xmlns:a16="http://schemas.microsoft.com/office/drawing/2014/main" id="{AA05621A-2A76-E604-E586-FE4F8ADA2084}"/>
            </a:ext>
          </a:extLst>
        </xdr:cNvPr>
        <xdr:cNvSpPr txBox="1"/>
      </xdr:nvSpPr>
      <xdr:spPr>
        <a:xfrm>
          <a:off x="6129986" y="5131591"/>
          <a:ext cx="1067594" cy="231768"/>
        </a:xfrm>
        <a:prstGeom prst="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D7A2BA72-792F-40C9-9B25-A3BB1E6556FF}" type="TxLink">
            <a:rPr lang="en-US" sz="1400" b="1">
              <a:solidFill>
                <a:schemeClr val="lt1"/>
              </a:solidFill>
              <a:latin typeface="Kulim park"/>
              <a:ea typeface="+mn-ea"/>
              <a:cs typeface="+mn-cs"/>
            </a:rPr>
            <a:pPr marL="0" indent="0" algn="r"/>
            <a:t> 9,59,266 </a:t>
          </a:fld>
          <a:endParaRPr lang="en-IN" sz="1400" b="1">
            <a:solidFill>
              <a:schemeClr val="lt1"/>
            </a:solidFill>
            <a:latin typeface="Kulim park"/>
            <a:ea typeface="+mn-ea"/>
            <a:cs typeface="+mn-cs"/>
          </a:endParaRPr>
        </a:p>
      </xdr:txBody>
    </xdr:sp>
    <xdr:clientData/>
  </xdr:twoCellAnchor>
  <xdr:twoCellAnchor>
    <xdr:from>
      <xdr:col>9</xdr:col>
      <xdr:colOff>612055</xdr:colOff>
      <xdr:row>29</xdr:row>
      <xdr:rowOff>63560</xdr:rowOff>
    </xdr:from>
    <xdr:to>
      <xdr:col>11</xdr:col>
      <xdr:colOff>453442</xdr:colOff>
      <xdr:row>30</xdr:row>
      <xdr:rowOff>109885</xdr:rowOff>
    </xdr:to>
    <xdr:sp macro="" textlink="'pivot tables'!F13">
      <xdr:nvSpPr>
        <xdr:cNvPr id="42" name="TextBox 41">
          <a:extLst>
            <a:ext uri="{FF2B5EF4-FFF2-40B4-BE49-F238E27FC236}">
              <a16:creationId xmlns:a16="http://schemas.microsoft.com/office/drawing/2014/main" id="{34729E2C-FBED-66F3-B662-453623F11097}"/>
            </a:ext>
          </a:extLst>
        </xdr:cNvPr>
        <xdr:cNvSpPr txBox="1"/>
      </xdr:nvSpPr>
      <xdr:spPr>
        <a:xfrm>
          <a:off x="6129986" y="5461060"/>
          <a:ext cx="1067594" cy="232446"/>
        </a:xfrm>
        <a:prstGeom prst="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D2E11CEF-4C9C-455A-AA9C-765B9671CFC5}" type="TxLink">
            <a:rPr lang="en-US" sz="1400" b="1">
              <a:solidFill>
                <a:schemeClr val="lt1"/>
              </a:solidFill>
              <a:latin typeface="Kulim park"/>
              <a:ea typeface="+mn-ea"/>
              <a:cs typeface="+mn-cs"/>
            </a:rPr>
            <a:pPr marL="0" indent="0" algn="r"/>
            <a:t> 6,13,842 </a:t>
          </a:fld>
          <a:endParaRPr lang="en-IN" sz="1400" b="1">
            <a:solidFill>
              <a:schemeClr val="lt1"/>
            </a:solidFill>
            <a:latin typeface="Kulim park"/>
            <a:ea typeface="+mn-ea"/>
            <a:cs typeface="+mn-cs"/>
          </a:endParaRPr>
        </a:p>
      </xdr:txBody>
    </xdr:sp>
    <xdr:clientData/>
  </xdr:twoCellAnchor>
  <xdr:twoCellAnchor>
    <xdr:from>
      <xdr:col>9</xdr:col>
      <xdr:colOff>612055</xdr:colOff>
      <xdr:row>31</xdr:row>
      <xdr:rowOff>866</xdr:rowOff>
    </xdr:from>
    <xdr:to>
      <xdr:col>11</xdr:col>
      <xdr:colOff>453442</xdr:colOff>
      <xdr:row>32</xdr:row>
      <xdr:rowOff>46514</xdr:rowOff>
    </xdr:to>
    <xdr:sp macro="" textlink="'pivot tables'!F12">
      <xdr:nvSpPr>
        <xdr:cNvPr id="43" name="TextBox 42">
          <a:extLst>
            <a:ext uri="{FF2B5EF4-FFF2-40B4-BE49-F238E27FC236}">
              <a16:creationId xmlns:a16="http://schemas.microsoft.com/office/drawing/2014/main" id="{8EEF5264-774B-F428-02FA-512C8F1C408D}"/>
            </a:ext>
          </a:extLst>
        </xdr:cNvPr>
        <xdr:cNvSpPr txBox="1"/>
      </xdr:nvSpPr>
      <xdr:spPr>
        <a:xfrm>
          <a:off x="6129986" y="5770607"/>
          <a:ext cx="1067594" cy="231769"/>
        </a:xfrm>
        <a:prstGeom prst="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81E15860-D299-4B8F-BB26-574020AC38B1}" type="TxLink">
            <a:rPr lang="en-US" sz="1400" b="1">
              <a:solidFill>
                <a:schemeClr val="lt1"/>
              </a:solidFill>
              <a:latin typeface="Kulim park"/>
              <a:ea typeface="+mn-ea"/>
              <a:cs typeface="+mn-cs"/>
            </a:rPr>
            <a:pPr marL="0" indent="0" algn="r"/>
            <a:t> 1,67,041 </a:t>
          </a:fld>
          <a:endParaRPr lang="en-IN" sz="1400" b="1">
            <a:solidFill>
              <a:schemeClr val="lt1"/>
            </a:solidFill>
            <a:latin typeface="Kulim park"/>
            <a:ea typeface="+mn-ea"/>
            <a:cs typeface="+mn-cs"/>
          </a:endParaRPr>
        </a:p>
      </xdr:txBody>
    </xdr:sp>
    <xdr:clientData/>
  </xdr:twoCellAnchor>
  <xdr:twoCellAnchor>
    <xdr:from>
      <xdr:col>8</xdr:col>
      <xdr:colOff>24843</xdr:colOff>
      <xdr:row>20</xdr:row>
      <xdr:rowOff>186119</xdr:rowOff>
    </xdr:from>
    <xdr:to>
      <xdr:col>11</xdr:col>
      <xdr:colOff>466896</xdr:colOff>
      <xdr:row>22</xdr:row>
      <xdr:rowOff>130465</xdr:rowOff>
    </xdr:to>
    <xdr:sp macro="" textlink="">
      <xdr:nvSpPr>
        <xdr:cNvPr id="73" name="TextBox 72">
          <a:extLst>
            <a:ext uri="{FF2B5EF4-FFF2-40B4-BE49-F238E27FC236}">
              <a16:creationId xmlns:a16="http://schemas.microsoft.com/office/drawing/2014/main" id="{73F49B67-3034-489A-9656-F3598B34F067}"/>
            </a:ext>
          </a:extLst>
        </xdr:cNvPr>
        <xdr:cNvSpPr txBox="1"/>
      </xdr:nvSpPr>
      <xdr:spPr>
        <a:xfrm>
          <a:off x="4929671" y="3908533"/>
          <a:ext cx="2281363" cy="316587"/>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Kulim park"/>
            </a:rPr>
            <a:t> </a:t>
          </a:r>
          <a:r>
            <a:rPr lang="en-IN" sz="1400" b="1">
              <a:solidFill>
                <a:schemeClr val="bg1"/>
              </a:solidFill>
              <a:latin typeface="Kulim park"/>
            </a:rPr>
            <a:t>Salary</a:t>
          </a:r>
          <a:r>
            <a:rPr lang="en-IN" sz="1400" b="1" baseline="0">
              <a:solidFill>
                <a:schemeClr val="bg1"/>
              </a:solidFill>
              <a:latin typeface="Kulim park"/>
            </a:rPr>
            <a:t> amount by job titles</a:t>
          </a:r>
          <a:endParaRPr lang="en-IN" sz="1100" b="1">
            <a:solidFill>
              <a:schemeClr val="bg1"/>
            </a:solidFill>
            <a:latin typeface="Kulim park"/>
          </a:endParaRPr>
        </a:p>
      </xdr:txBody>
    </xdr:sp>
    <xdr:clientData/>
  </xdr:twoCellAnchor>
  <xdr:twoCellAnchor>
    <xdr:from>
      <xdr:col>12</xdr:col>
      <xdr:colOff>208359</xdr:colOff>
      <xdr:row>19</xdr:row>
      <xdr:rowOff>103338</xdr:rowOff>
    </xdr:from>
    <xdr:to>
      <xdr:col>16</xdr:col>
      <xdr:colOff>327481</xdr:colOff>
      <xdr:row>20</xdr:row>
      <xdr:rowOff>171019</xdr:rowOff>
    </xdr:to>
    <xdr:sp macro="" textlink="'pivot tables'!AD23">
      <xdr:nvSpPr>
        <xdr:cNvPr id="77" name="TextBox 76">
          <a:extLst>
            <a:ext uri="{FF2B5EF4-FFF2-40B4-BE49-F238E27FC236}">
              <a16:creationId xmlns:a16="http://schemas.microsoft.com/office/drawing/2014/main" id="{2F9C653D-39ED-46E6-8B2A-85C219DED0F1}"/>
            </a:ext>
          </a:extLst>
        </xdr:cNvPr>
        <xdr:cNvSpPr txBox="1"/>
      </xdr:nvSpPr>
      <xdr:spPr>
        <a:xfrm>
          <a:off x="7546137" y="3529202"/>
          <a:ext cx="2565048" cy="2479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IN" sz="1400" b="1">
              <a:solidFill>
                <a:schemeClr val="bg1"/>
              </a:solidFill>
              <a:latin typeface="Kulim park"/>
              <a:ea typeface="+mn-ea"/>
              <a:cs typeface="+mn-cs"/>
            </a:rPr>
            <a:t>Employment</a:t>
          </a:r>
          <a:r>
            <a:rPr lang="en-IN" sz="1400" b="1" baseline="0">
              <a:solidFill>
                <a:schemeClr val="bg1"/>
              </a:solidFill>
              <a:latin typeface="Kulim park"/>
              <a:ea typeface="+mn-ea"/>
              <a:cs typeface="+mn-cs"/>
            </a:rPr>
            <a:t> Status Breakdown</a:t>
          </a:r>
          <a:endParaRPr lang="en-IN" sz="1400" b="1">
            <a:solidFill>
              <a:schemeClr val="bg1"/>
            </a:solidFill>
            <a:latin typeface="Kulim park"/>
            <a:ea typeface="+mn-ea"/>
            <a:cs typeface="+mn-cs"/>
          </a:endParaRPr>
        </a:p>
      </xdr:txBody>
    </xdr:sp>
    <xdr:clientData/>
  </xdr:twoCellAnchor>
  <xdr:twoCellAnchor>
    <xdr:from>
      <xdr:col>12</xdr:col>
      <xdr:colOff>208360</xdr:colOff>
      <xdr:row>21</xdr:row>
      <xdr:rowOff>81223</xdr:rowOff>
    </xdr:from>
    <xdr:to>
      <xdr:col>14</xdr:col>
      <xdr:colOff>166139</xdr:colOff>
      <xdr:row>27</xdr:row>
      <xdr:rowOff>136405</xdr:rowOff>
    </xdr:to>
    <xdr:graphicFrame macro="">
      <xdr:nvGraphicFramePr>
        <xdr:cNvPr id="78" name="Chart 77">
          <a:extLst>
            <a:ext uri="{FF2B5EF4-FFF2-40B4-BE49-F238E27FC236}">
              <a16:creationId xmlns:a16="http://schemas.microsoft.com/office/drawing/2014/main" id="{E84E3BD8-8D50-4FE2-948A-ADBDAABCF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44240</xdr:colOff>
      <xdr:row>21</xdr:row>
      <xdr:rowOff>142328</xdr:rowOff>
    </xdr:from>
    <xdr:to>
      <xdr:col>16</xdr:col>
      <xdr:colOff>224936</xdr:colOff>
      <xdr:row>23</xdr:row>
      <xdr:rowOff>29317</xdr:rowOff>
    </xdr:to>
    <xdr:sp macro="" textlink="">
      <xdr:nvSpPr>
        <xdr:cNvPr id="80" name="Flowchart: Connector 79">
          <a:extLst>
            <a:ext uri="{FF2B5EF4-FFF2-40B4-BE49-F238E27FC236}">
              <a16:creationId xmlns:a16="http://schemas.microsoft.com/office/drawing/2014/main" id="{1BC3EAC5-C62F-3FF4-0925-D4CBB8971158}"/>
            </a:ext>
          </a:extLst>
        </xdr:cNvPr>
        <xdr:cNvSpPr/>
      </xdr:nvSpPr>
      <xdr:spPr>
        <a:xfrm>
          <a:off x="9853895" y="4050862"/>
          <a:ext cx="180696" cy="25923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106170</xdr:colOff>
      <xdr:row>28</xdr:row>
      <xdr:rowOff>78553</xdr:rowOff>
    </xdr:from>
    <xdr:to>
      <xdr:col>16</xdr:col>
      <xdr:colOff>301571</xdr:colOff>
      <xdr:row>30</xdr:row>
      <xdr:rowOff>0</xdr:rowOff>
    </xdr:to>
    <xdr:sp macro="" textlink="">
      <xdr:nvSpPr>
        <xdr:cNvPr id="81" name="Flowchart: Connector 80">
          <a:extLst>
            <a:ext uri="{FF2B5EF4-FFF2-40B4-BE49-F238E27FC236}">
              <a16:creationId xmlns:a16="http://schemas.microsoft.com/office/drawing/2014/main" id="{7A5AA06A-DE2B-428C-9B66-6A82DFB15008}"/>
            </a:ext>
          </a:extLst>
        </xdr:cNvPr>
        <xdr:cNvSpPr/>
      </xdr:nvSpPr>
      <xdr:spPr>
        <a:xfrm>
          <a:off x="9915825" y="5289932"/>
          <a:ext cx="195401" cy="293689"/>
        </a:xfrm>
        <a:prstGeom prst="flowChartConnector">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545548</xdr:colOff>
      <xdr:row>28</xdr:row>
      <xdr:rowOff>94463</xdr:rowOff>
    </xdr:from>
    <xdr:to>
      <xdr:col>14</xdr:col>
      <xdr:colOff>122345</xdr:colOff>
      <xdr:row>30</xdr:row>
      <xdr:rowOff>17638</xdr:rowOff>
    </xdr:to>
    <xdr:sp macro="" textlink="">
      <xdr:nvSpPr>
        <xdr:cNvPr id="82" name="Flowchart: Connector 81">
          <a:extLst>
            <a:ext uri="{FF2B5EF4-FFF2-40B4-BE49-F238E27FC236}">
              <a16:creationId xmlns:a16="http://schemas.microsoft.com/office/drawing/2014/main" id="{FD2C2412-550D-4D29-B1B9-7D4817785E42}"/>
            </a:ext>
          </a:extLst>
        </xdr:cNvPr>
        <xdr:cNvSpPr/>
      </xdr:nvSpPr>
      <xdr:spPr>
        <a:xfrm>
          <a:off x="8515893" y="5305842"/>
          <a:ext cx="189900" cy="295417"/>
        </a:xfrm>
        <a:prstGeom prst="flowChartConnector">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421773</xdr:colOff>
      <xdr:row>23</xdr:row>
      <xdr:rowOff>0</xdr:rowOff>
    </xdr:from>
    <xdr:to>
      <xdr:col>7</xdr:col>
      <xdr:colOff>418472</xdr:colOff>
      <xdr:row>33</xdr:row>
      <xdr:rowOff>5511</xdr:rowOff>
    </xdr:to>
    <xdr:graphicFrame macro="">
      <xdr:nvGraphicFramePr>
        <xdr:cNvPr id="85" name="Chart 84">
          <a:extLst>
            <a:ext uri="{FF2B5EF4-FFF2-40B4-BE49-F238E27FC236}">
              <a16:creationId xmlns:a16="http://schemas.microsoft.com/office/drawing/2014/main" id="{B15DB463-FF0F-48F1-9841-18170CA29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385896</xdr:colOff>
      <xdr:row>21</xdr:row>
      <xdr:rowOff>27405</xdr:rowOff>
    </xdr:from>
    <xdr:to>
      <xdr:col>7</xdr:col>
      <xdr:colOff>400179</xdr:colOff>
      <xdr:row>23</xdr:row>
      <xdr:rowOff>32984</xdr:rowOff>
    </xdr:to>
    <xdr:sp macro="" textlink="'pivot tables'!F17">
      <xdr:nvSpPr>
        <xdr:cNvPr id="87" name="TextBox 86">
          <a:extLst>
            <a:ext uri="{FF2B5EF4-FFF2-40B4-BE49-F238E27FC236}">
              <a16:creationId xmlns:a16="http://schemas.microsoft.com/office/drawing/2014/main" id="{46FE157D-9DE9-4C57-85AC-7E7E3AF79A28}"/>
            </a:ext>
          </a:extLst>
        </xdr:cNvPr>
        <xdr:cNvSpPr txBox="1"/>
      </xdr:nvSpPr>
      <xdr:spPr>
        <a:xfrm>
          <a:off x="2220340" y="3813886"/>
          <a:ext cx="2460209" cy="366197"/>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IN" sz="900" b="1">
              <a:solidFill>
                <a:schemeClr val="bg1"/>
              </a:solidFill>
              <a:latin typeface="Kulim park"/>
              <a:ea typeface="+mn-ea"/>
              <a:cs typeface="+mn-cs"/>
            </a:rPr>
            <a:t>Numbers of Employee according to Age Range and Genders</a:t>
          </a:r>
        </a:p>
      </xdr:txBody>
    </xdr:sp>
    <xdr:clientData/>
  </xdr:twoCellAnchor>
  <xdr:twoCellAnchor>
    <xdr:from>
      <xdr:col>0</xdr:col>
      <xdr:colOff>167106</xdr:colOff>
      <xdr:row>25</xdr:row>
      <xdr:rowOff>151228</xdr:rowOff>
    </xdr:from>
    <xdr:to>
      <xdr:col>3</xdr:col>
      <xdr:colOff>222243</xdr:colOff>
      <xdr:row>28</xdr:row>
      <xdr:rowOff>115031</xdr:rowOff>
    </xdr:to>
    <xdr:graphicFrame macro="">
      <xdr:nvGraphicFramePr>
        <xdr:cNvPr id="94" name="Chart 93">
          <a:extLst>
            <a:ext uri="{FF2B5EF4-FFF2-40B4-BE49-F238E27FC236}">
              <a16:creationId xmlns:a16="http://schemas.microsoft.com/office/drawing/2014/main" id="{8303E7D7-2C08-4C83-9025-859516A99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127123</xdr:colOff>
      <xdr:row>30</xdr:row>
      <xdr:rowOff>153649</xdr:rowOff>
    </xdr:from>
    <xdr:to>
      <xdr:col>3</xdr:col>
      <xdr:colOff>118144</xdr:colOff>
      <xdr:row>34</xdr:row>
      <xdr:rowOff>25733</xdr:rowOff>
    </xdr:to>
    <xdr:graphicFrame macro="">
      <xdr:nvGraphicFramePr>
        <xdr:cNvPr id="95" name="Chart 94">
          <a:extLst>
            <a:ext uri="{FF2B5EF4-FFF2-40B4-BE49-F238E27FC236}">
              <a16:creationId xmlns:a16="http://schemas.microsoft.com/office/drawing/2014/main" id="{EF9CF1D8-0B35-4189-B3D2-DC54366B8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127123</xdr:colOff>
      <xdr:row>27</xdr:row>
      <xdr:rowOff>160196</xdr:rowOff>
    </xdr:from>
    <xdr:to>
      <xdr:col>3</xdr:col>
      <xdr:colOff>118144</xdr:colOff>
      <xdr:row>31</xdr:row>
      <xdr:rowOff>42137</xdr:rowOff>
    </xdr:to>
    <xdr:graphicFrame macro="">
      <xdr:nvGraphicFramePr>
        <xdr:cNvPr id="96" name="Chart 95">
          <a:extLst>
            <a:ext uri="{FF2B5EF4-FFF2-40B4-BE49-F238E27FC236}">
              <a16:creationId xmlns:a16="http://schemas.microsoft.com/office/drawing/2014/main" id="{BED80481-9310-4A86-AE3E-E8E6257D5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108281</xdr:colOff>
      <xdr:row>25</xdr:row>
      <xdr:rowOff>44172</xdr:rowOff>
    </xdr:from>
    <xdr:to>
      <xdr:col>2</xdr:col>
      <xdr:colOff>555356</xdr:colOff>
      <xdr:row>26</xdr:row>
      <xdr:rowOff>111403</xdr:rowOff>
    </xdr:to>
    <xdr:sp macro="" textlink="">
      <xdr:nvSpPr>
        <xdr:cNvPr id="97" name="TextBox 96">
          <a:extLst>
            <a:ext uri="{FF2B5EF4-FFF2-40B4-BE49-F238E27FC236}">
              <a16:creationId xmlns:a16="http://schemas.microsoft.com/office/drawing/2014/main" id="{46C8B0A9-50BC-CBBE-F117-B1DA90274FBD}"/>
            </a:ext>
          </a:extLst>
        </xdr:cNvPr>
        <xdr:cNvSpPr txBox="1"/>
      </xdr:nvSpPr>
      <xdr:spPr>
        <a:xfrm>
          <a:off x="108281" y="4728598"/>
          <a:ext cx="1675436" cy="254608"/>
        </a:xfrm>
        <a:prstGeom prst="rect">
          <a:avLst/>
        </a:prstGeom>
        <a:noFill/>
        <a:ln w="9525" cmpd="sng">
          <a:noFill/>
        </a:ln>
        <a:effectLst>
          <a:outerShdw blurRad="63500" dist="50800" dir="5400000" algn="ctr" rotWithShape="0">
            <a:srgbClr val="000000">
              <a:alpha val="43137"/>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Kulim park"/>
            </a:rPr>
            <a:t>Branch Office</a:t>
          </a:r>
        </a:p>
      </xdr:txBody>
    </xdr:sp>
    <xdr:clientData/>
  </xdr:twoCellAnchor>
  <xdr:twoCellAnchor>
    <xdr:from>
      <xdr:col>0</xdr:col>
      <xdr:colOff>167105</xdr:colOff>
      <xdr:row>27</xdr:row>
      <xdr:rowOff>136406</xdr:rowOff>
    </xdr:from>
    <xdr:to>
      <xdr:col>2</xdr:col>
      <xdr:colOff>7415</xdr:colOff>
      <xdr:row>28</xdr:row>
      <xdr:rowOff>182054</xdr:rowOff>
    </xdr:to>
    <xdr:sp macro="" textlink="">
      <xdr:nvSpPr>
        <xdr:cNvPr id="98" name="TextBox 97">
          <a:extLst>
            <a:ext uri="{FF2B5EF4-FFF2-40B4-BE49-F238E27FC236}">
              <a16:creationId xmlns:a16="http://schemas.microsoft.com/office/drawing/2014/main" id="{E7B2F571-406A-C77D-5400-50EDAA2B3586}"/>
            </a:ext>
          </a:extLst>
        </xdr:cNvPr>
        <xdr:cNvSpPr txBox="1"/>
      </xdr:nvSpPr>
      <xdr:spPr>
        <a:xfrm>
          <a:off x="167105" y="5195586"/>
          <a:ext cx="1068671" cy="23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Kulim park"/>
            </a:rPr>
            <a:t>Head</a:t>
          </a:r>
          <a:r>
            <a:rPr lang="en-IN" sz="1400" b="1" baseline="0">
              <a:solidFill>
                <a:schemeClr val="bg1"/>
              </a:solidFill>
              <a:latin typeface="Kulim park"/>
            </a:rPr>
            <a:t> Office</a:t>
          </a:r>
          <a:endParaRPr lang="en-IN" sz="1400" b="1">
            <a:solidFill>
              <a:schemeClr val="bg1"/>
            </a:solidFill>
            <a:latin typeface="Kulim park"/>
          </a:endParaRPr>
        </a:p>
      </xdr:txBody>
    </xdr:sp>
    <xdr:clientData/>
  </xdr:twoCellAnchor>
  <xdr:twoCellAnchor>
    <xdr:from>
      <xdr:col>0</xdr:col>
      <xdr:colOff>167105</xdr:colOff>
      <xdr:row>30</xdr:row>
      <xdr:rowOff>87117</xdr:rowOff>
    </xdr:from>
    <xdr:to>
      <xdr:col>2</xdr:col>
      <xdr:colOff>7415</xdr:colOff>
      <xdr:row>31</xdr:row>
      <xdr:rowOff>133441</xdr:rowOff>
    </xdr:to>
    <xdr:sp macro="" textlink="">
      <xdr:nvSpPr>
        <xdr:cNvPr id="99" name="TextBox 98">
          <a:extLst>
            <a:ext uri="{FF2B5EF4-FFF2-40B4-BE49-F238E27FC236}">
              <a16:creationId xmlns:a16="http://schemas.microsoft.com/office/drawing/2014/main" id="{D65A3B2C-1E3B-BDED-CF54-93679A13E56F}"/>
            </a:ext>
          </a:extLst>
        </xdr:cNvPr>
        <xdr:cNvSpPr txBox="1"/>
      </xdr:nvSpPr>
      <xdr:spPr>
        <a:xfrm>
          <a:off x="167105" y="5708428"/>
          <a:ext cx="1068671" cy="233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Kulim park"/>
            </a:rPr>
            <a:t>Remote</a:t>
          </a:r>
        </a:p>
      </xdr:txBody>
    </xdr:sp>
    <xdr:clientData/>
  </xdr:twoCellAnchor>
  <xdr:twoCellAnchor>
    <xdr:from>
      <xdr:col>2</xdr:col>
      <xdr:colOff>215099</xdr:colOff>
      <xdr:row>26</xdr:row>
      <xdr:rowOff>131198</xdr:rowOff>
    </xdr:from>
    <xdr:to>
      <xdr:col>3</xdr:col>
      <xdr:colOff>277927</xdr:colOff>
      <xdr:row>28</xdr:row>
      <xdr:rowOff>16134</xdr:rowOff>
    </xdr:to>
    <xdr:sp macro="" textlink="'pivot tables'!N16">
      <xdr:nvSpPr>
        <xdr:cNvPr id="103" name="TextBox 102">
          <a:extLst>
            <a:ext uri="{FF2B5EF4-FFF2-40B4-BE49-F238E27FC236}">
              <a16:creationId xmlns:a16="http://schemas.microsoft.com/office/drawing/2014/main" id="{00F12F83-443A-4214-82D7-0CECB7E020F0}"/>
            </a:ext>
          </a:extLst>
        </xdr:cNvPr>
        <xdr:cNvSpPr txBox="1"/>
      </xdr:nvSpPr>
      <xdr:spPr>
        <a:xfrm>
          <a:off x="1443460" y="5003001"/>
          <a:ext cx="677008" cy="259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A9BF01-6A81-4AEF-8384-CE17FA520847}" type="TxLink">
            <a:rPr lang="en-US" sz="1100" b="1" i="0" u="none" strike="noStrike">
              <a:solidFill>
                <a:srgbClr val="E5B244"/>
              </a:solidFill>
              <a:latin typeface="Aptos Narrow"/>
            </a:rPr>
            <a:pPr/>
            <a:t>46.00%</a:t>
          </a:fld>
          <a:endParaRPr lang="en-IN" sz="1100">
            <a:solidFill>
              <a:srgbClr val="E5B244"/>
            </a:solidFill>
            <a:latin typeface="Kulim park"/>
          </a:endParaRPr>
        </a:p>
      </xdr:txBody>
    </xdr:sp>
    <xdr:clientData/>
  </xdr:twoCellAnchor>
  <xdr:twoCellAnchor>
    <xdr:from>
      <xdr:col>2</xdr:col>
      <xdr:colOff>145257</xdr:colOff>
      <xdr:row>28</xdr:row>
      <xdr:rowOff>167908</xdr:rowOff>
    </xdr:from>
    <xdr:to>
      <xdr:col>3</xdr:col>
      <xdr:colOff>208085</xdr:colOff>
      <xdr:row>30</xdr:row>
      <xdr:rowOff>52844</xdr:rowOff>
    </xdr:to>
    <xdr:sp macro="" textlink="'pivot tables'!N17">
      <xdr:nvSpPr>
        <xdr:cNvPr id="104" name="TextBox 103">
          <a:extLst>
            <a:ext uri="{FF2B5EF4-FFF2-40B4-BE49-F238E27FC236}">
              <a16:creationId xmlns:a16="http://schemas.microsoft.com/office/drawing/2014/main" id="{435DF893-04E5-451A-9F2B-646B4A0ADE1C}"/>
            </a:ext>
          </a:extLst>
        </xdr:cNvPr>
        <xdr:cNvSpPr txBox="1"/>
      </xdr:nvSpPr>
      <xdr:spPr>
        <a:xfrm>
          <a:off x="1373618" y="5414465"/>
          <a:ext cx="677008" cy="259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C915D1-3685-4028-9CA2-B3C2C4288EA4}" type="TxLink">
            <a:rPr lang="en-US" sz="1100" b="1" i="0" u="none" strike="noStrike">
              <a:solidFill>
                <a:srgbClr val="E5B244"/>
              </a:solidFill>
              <a:latin typeface="Aptos Narrow"/>
              <a:ea typeface="+mn-ea"/>
              <a:cs typeface="+mn-cs"/>
            </a:rPr>
            <a:pPr marL="0" indent="0"/>
            <a:t>16.00%</a:t>
          </a:fld>
          <a:endParaRPr lang="en-IN" sz="1100" b="1" i="0" u="none" strike="noStrike">
            <a:solidFill>
              <a:srgbClr val="E5B244"/>
            </a:solidFill>
            <a:latin typeface="Aptos Narrow"/>
            <a:ea typeface="+mn-ea"/>
            <a:cs typeface="+mn-cs"/>
          </a:endParaRPr>
        </a:p>
      </xdr:txBody>
    </xdr:sp>
    <xdr:clientData/>
  </xdr:twoCellAnchor>
  <xdr:twoCellAnchor>
    <xdr:from>
      <xdr:col>2</xdr:col>
      <xdr:colOff>174119</xdr:colOff>
      <xdr:row>31</xdr:row>
      <xdr:rowOff>120575</xdr:rowOff>
    </xdr:from>
    <xdr:to>
      <xdr:col>3</xdr:col>
      <xdr:colOff>236947</xdr:colOff>
      <xdr:row>33</xdr:row>
      <xdr:rowOff>5511</xdr:rowOff>
    </xdr:to>
    <xdr:sp macro="" textlink="'pivot tables'!N18">
      <xdr:nvSpPr>
        <xdr:cNvPr id="105" name="TextBox 104">
          <a:extLst>
            <a:ext uri="{FF2B5EF4-FFF2-40B4-BE49-F238E27FC236}">
              <a16:creationId xmlns:a16="http://schemas.microsoft.com/office/drawing/2014/main" id="{42E90140-7E87-463E-9889-7DD5614682CF}"/>
            </a:ext>
          </a:extLst>
        </xdr:cNvPr>
        <xdr:cNvSpPr txBox="1"/>
      </xdr:nvSpPr>
      <xdr:spPr>
        <a:xfrm>
          <a:off x="1402480" y="5929264"/>
          <a:ext cx="677008" cy="259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D70811-5201-4D1F-A669-7A7D3630DE99}" type="TxLink">
            <a:rPr lang="en-US" sz="1100" b="1" i="0" u="none" strike="noStrike">
              <a:solidFill>
                <a:srgbClr val="E5B244"/>
              </a:solidFill>
              <a:latin typeface="Aptos Narrow"/>
              <a:ea typeface="+mn-ea"/>
              <a:cs typeface="+mn-cs"/>
            </a:rPr>
            <a:pPr marL="0" indent="0"/>
            <a:t>38.00%</a:t>
          </a:fld>
          <a:endParaRPr lang="en-IN" sz="1100" b="1" i="0" u="none" strike="noStrike">
            <a:solidFill>
              <a:srgbClr val="E5B244"/>
            </a:solidFill>
            <a:latin typeface="Aptos Narrow"/>
            <a:ea typeface="+mn-ea"/>
            <a:cs typeface="+mn-cs"/>
          </a:endParaRPr>
        </a:p>
      </xdr:txBody>
    </xdr:sp>
    <xdr:clientData/>
  </xdr:twoCellAnchor>
  <xdr:twoCellAnchor>
    <xdr:from>
      <xdr:col>0</xdr:col>
      <xdr:colOff>172127</xdr:colOff>
      <xdr:row>23</xdr:row>
      <xdr:rowOff>181026</xdr:rowOff>
    </xdr:from>
    <xdr:to>
      <xdr:col>3</xdr:col>
      <xdr:colOff>208085</xdr:colOff>
      <xdr:row>25</xdr:row>
      <xdr:rowOff>48633</xdr:rowOff>
    </xdr:to>
    <xdr:sp macro="" textlink="">
      <xdr:nvSpPr>
        <xdr:cNvPr id="106" name="TextBox 105">
          <a:extLst>
            <a:ext uri="{FF2B5EF4-FFF2-40B4-BE49-F238E27FC236}">
              <a16:creationId xmlns:a16="http://schemas.microsoft.com/office/drawing/2014/main" id="{050BD8DF-3E0B-4512-BB63-CA9BA00182D3}"/>
            </a:ext>
          </a:extLst>
        </xdr:cNvPr>
        <xdr:cNvSpPr txBox="1"/>
      </xdr:nvSpPr>
      <xdr:spPr>
        <a:xfrm>
          <a:off x="172127" y="4490698"/>
          <a:ext cx="1878499" cy="242361"/>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latin typeface="Kulim park"/>
            </a:rPr>
            <a:t>Work Locations</a:t>
          </a:r>
          <a:endParaRPr lang="en-IN" sz="1400" b="1">
            <a:solidFill>
              <a:schemeClr val="bg1"/>
            </a:solidFill>
            <a:latin typeface="Kulim park"/>
          </a:endParaRPr>
        </a:p>
      </xdr:txBody>
    </xdr:sp>
    <xdr:clientData/>
  </xdr:twoCellAnchor>
  <xdr:twoCellAnchor>
    <xdr:from>
      <xdr:col>0</xdr:col>
      <xdr:colOff>141549</xdr:colOff>
      <xdr:row>16</xdr:row>
      <xdr:rowOff>26000</xdr:rowOff>
    </xdr:from>
    <xdr:to>
      <xdr:col>2</xdr:col>
      <xdr:colOff>374926</xdr:colOff>
      <xdr:row>18</xdr:row>
      <xdr:rowOff>10410</xdr:rowOff>
    </xdr:to>
    <xdr:sp macro="" textlink="">
      <xdr:nvSpPr>
        <xdr:cNvPr id="108" name="TextBox 107">
          <a:extLst>
            <a:ext uri="{FF2B5EF4-FFF2-40B4-BE49-F238E27FC236}">
              <a16:creationId xmlns:a16="http://schemas.microsoft.com/office/drawing/2014/main" id="{5E5DCCA2-F85A-601E-4596-7353EAE1DE77}"/>
            </a:ext>
          </a:extLst>
        </xdr:cNvPr>
        <xdr:cNvSpPr txBox="1"/>
      </xdr:nvSpPr>
      <xdr:spPr>
        <a:xfrm>
          <a:off x="141549" y="3024033"/>
          <a:ext cx="1461738" cy="35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Kulim park"/>
            </a:rPr>
            <a:t>Communication</a:t>
          </a:r>
        </a:p>
      </xdr:txBody>
    </xdr:sp>
    <xdr:clientData/>
  </xdr:twoCellAnchor>
  <xdr:twoCellAnchor>
    <xdr:from>
      <xdr:col>0</xdr:col>
      <xdr:colOff>180945</xdr:colOff>
      <xdr:row>17</xdr:row>
      <xdr:rowOff>132613</xdr:rowOff>
    </xdr:from>
    <xdr:to>
      <xdr:col>2</xdr:col>
      <xdr:colOff>420857</xdr:colOff>
      <xdr:row>19</xdr:row>
      <xdr:rowOff>12467</xdr:rowOff>
    </xdr:to>
    <xdr:sp macro="" textlink="">
      <xdr:nvSpPr>
        <xdr:cNvPr id="109" name="TextBox 108">
          <a:extLst>
            <a:ext uri="{FF2B5EF4-FFF2-40B4-BE49-F238E27FC236}">
              <a16:creationId xmlns:a16="http://schemas.microsoft.com/office/drawing/2014/main" id="{CFAF02AD-E5DB-7C7F-DD75-AFF1D28206AD}"/>
            </a:ext>
          </a:extLst>
        </xdr:cNvPr>
        <xdr:cNvSpPr txBox="1"/>
      </xdr:nvSpPr>
      <xdr:spPr>
        <a:xfrm>
          <a:off x="180945" y="3318023"/>
          <a:ext cx="1468273" cy="254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Kulim park"/>
              <a:ea typeface="+mn-ea"/>
              <a:cs typeface="+mn-cs"/>
            </a:rPr>
            <a:t>Design</a:t>
          </a:r>
        </a:p>
      </xdr:txBody>
    </xdr:sp>
    <xdr:clientData/>
  </xdr:twoCellAnchor>
  <xdr:twoCellAnchor>
    <xdr:from>
      <xdr:col>0</xdr:col>
      <xdr:colOff>167106</xdr:colOff>
      <xdr:row>19</xdr:row>
      <xdr:rowOff>2694</xdr:rowOff>
    </xdr:from>
    <xdr:to>
      <xdr:col>2</xdr:col>
      <xdr:colOff>410217</xdr:colOff>
      <xdr:row>20</xdr:row>
      <xdr:rowOff>48342</xdr:rowOff>
    </xdr:to>
    <xdr:sp macro="" textlink="">
      <xdr:nvSpPr>
        <xdr:cNvPr id="110" name="TextBox 109">
          <a:extLst>
            <a:ext uri="{FF2B5EF4-FFF2-40B4-BE49-F238E27FC236}">
              <a16:creationId xmlns:a16="http://schemas.microsoft.com/office/drawing/2014/main" id="{7245542D-770E-AED6-980E-8F13CED3B78F}"/>
            </a:ext>
          </a:extLst>
        </xdr:cNvPr>
        <xdr:cNvSpPr txBox="1"/>
      </xdr:nvSpPr>
      <xdr:spPr>
        <a:xfrm>
          <a:off x="167106" y="3562858"/>
          <a:ext cx="1471472" cy="23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Kulim park"/>
              <a:ea typeface="+mn-ea"/>
              <a:cs typeface="+mn-cs"/>
            </a:rPr>
            <a:t>Excel</a:t>
          </a:r>
        </a:p>
      </xdr:txBody>
    </xdr:sp>
    <xdr:clientData/>
  </xdr:twoCellAnchor>
  <xdr:twoCellAnchor>
    <xdr:from>
      <xdr:col>0</xdr:col>
      <xdr:colOff>172127</xdr:colOff>
      <xdr:row>20</xdr:row>
      <xdr:rowOff>48342</xdr:rowOff>
    </xdr:from>
    <xdr:to>
      <xdr:col>2</xdr:col>
      <xdr:colOff>420857</xdr:colOff>
      <xdr:row>21</xdr:row>
      <xdr:rowOff>94667</xdr:rowOff>
    </xdr:to>
    <xdr:sp macro="" textlink="">
      <xdr:nvSpPr>
        <xdr:cNvPr id="111" name="TextBox 110">
          <a:extLst>
            <a:ext uri="{FF2B5EF4-FFF2-40B4-BE49-F238E27FC236}">
              <a16:creationId xmlns:a16="http://schemas.microsoft.com/office/drawing/2014/main" id="{E07B02FE-470D-7720-C0DE-7AB53657418F}"/>
            </a:ext>
          </a:extLst>
        </xdr:cNvPr>
        <xdr:cNvSpPr txBox="1"/>
      </xdr:nvSpPr>
      <xdr:spPr>
        <a:xfrm>
          <a:off x="172127" y="3795883"/>
          <a:ext cx="1477091" cy="233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Kulim park"/>
              <a:ea typeface="+mn-ea"/>
              <a:cs typeface="+mn-cs"/>
            </a:rPr>
            <a:t>Management</a:t>
          </a:r>
        </a:p>
      </xdr:txBody>
    </xdr:sp>
    <xdr:clientData/>
  </xdr:twoCellAnchor>
  <xdr:twoCellAnchor>
    <xdr:from>
      <xdr:col>0</xdr:col>
      <xdr:colOff>194040</xdr:colOff>
      <xdr:row>21</xdr:row>
      <xdr:rowOff>81224</xdr:rowOff>
    </xdr:from>
    <xdr:to>
      <xdr:col>2</xdr:col>
      <xdr:colOff>445526</xdr:colOff>
      <xdr:row>22</xdr:row>
      <xdr:rowOff>137415</xdr:rowOff>
    </xdr:to>
    <xdr:sp macro="" textlink="">
      <xdr:nvSpPr>
        <xdr:cNvPr id="112" name="TextBox 111">
          <a:extLst>
            <a:ext uri="{FF2B5EF4-FFF2-40B4-BE49-F238E27FC236}">
              <a16:creationId xmlns:a16="http://schemas.microsoft.com/office/drawing/2014/main" id="{1DC48CC0-5720-3B3E-83BB-787D90970494}"/>
            </a:ext>
          </a:extLst>
        </xdr:cNvPr>
        <xdr:cNvSpPr txBox="1"/>
      </xdr:nvSpPr>
      <xdr:spPr>
        <a:xfrm>
          <a:off x="194040" y="4016142"/>
          <a:ext cx="1479847" cy="243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Kulim park"/>
              <a:ea typeface="+mn-ea"/>
              <a:cs typeface="+mn-cs"/>
            </a:rPr>
            <a:t>Python</a:t>
          </a:r>
        </a:p>
      </xdr:txBody>
    </xdr:sp>
    <xdr:clientData/>
  </xdr:twoCellAnchor>
  <xdr:twoCellAnchor>
    <xdr:from>
      <xdr:col>1</xdr:col>
      <xdr:colOff>465386</xdr:colOff>
      <xdr:row>15</xdr:row>
      <xdr:rowOff>170666</xdr:rowOff>
    </xdr:from>
    <xdr:to>
      <xdr:col>3</xdr:col>
      <xdr:colOff>281539</xdr:colOff>
      <xdr:row>17</xdr:row>
      <xdr:rowOff>187195</xdr:rowOff>
    </xdr:to>
    <xdr:sp macro="" textlink="'pivot tables'!T12">
      <xdr:nvSpPr>
        <xdr:cNvPr id="113" name="TextBox 112">
          <a:extLst>
            <a:ext uri="{FF2B5EF4-FFF2-40B4-BE49-F238E27FC236}">
              <a16:creationId xmlns:a16="http://schemas.microsoft.com/office/drawing/2014/main" id="{DCAB0456-FBBF-21AF-8986-02FE50954525}"/>
            </a:ext>
          </a:extLst>
        </xdr:cNvPr>
        <xdr:cNvSpPr txBox="1"/>
      </xdr:nvSpPr>
      <xdr:spPr>
        <a:xfrm>
          <a:off x="1079566" y="2981322"/>
          <a:ext cx="1044514" cy="391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731CC5F-6D32-4794-B264-4C323F1F58AE}" type="TxLink">
            <a:rPr lang="en-US" sz="1800" b="1" i="0" u="none" strike="noStrike">
              <a:solidFill>
                <a:srgbClr val="E5B244"/>
              </a:solidFill>
              <a:latin typeface="Aptos Narrow"/>
            </a:rPr>
            <a:pPr algn="r"/>
            <a:t>12</a:t>
          </a:fld>
          <a:endParaRPr lang="en-IN" sz="1400" b="1">
            <a:solidFill>
              <a:srgbClr val="E5B244"/>
            </a:solidFill>
            <a:latin typeface="Kulim park"/>
          </a:endParaRPr>
        </a:p>
      </xdr:txBody>
    </xdr:sp>
    <xdr:clientData/>
  </xdr:twoCellAnchor>
  <xdr:twoCellAnchor>
    <xdr:from>
      <xdr:col>1</xdr:col>
      <xdr:colOff>461773</xdr:colOff>
      <xdr:row>17</xdr:row>
      <xdr:rowOff>120146</xdr:rowOff>
    </xdr:from>
    <xdr:to>
      <xdr:col>3</xdr:col>
      <xdr:colOff>277927</xdr:colOff>
      <xdr:row>19</xdr:row>
      <xdr:rowOff>0</xdr:rowOff>
    </xdr:to>
    <xdr:sp macro="" textlink="'pivot tables'!T13">
      <xdr:nvSpPr>
        <xdr:cNvPr id="114" name="TextBox 113">
          <a:extLst>
            <a:ext uri="{FF2B5EF4-FFF2-40B4-BE49-F238E27FC236}">
              <a16:creationId xmlns:a16="http://schemas.microsoft.com/office/drawing/2014/main" id="{5942329E-8AE5-5EF2-CF94-7804E2C55933}"/>
            </a:ext>
          </a:extLst>
        </xdr:cNvPr>
        <xdr:cNvSpPr txBox="1"/>
      </xdr:nvSpPr>
      <xdr:spPr>
        <a:xfrm>
          <a:off x="1075953" y="3305556"/>
          <a:ext cx="1044515" cy="254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4A9A720-3D7B-4919-8EAC-C18F3C7FF40F}" type="TxLink">
            <a:rPr lang="en-US" sz="1800" b="1" i="0" u="none" strike="noStrike">
              <a:solidFill>
                <a:srgbClr val="E5B244"/>
              </a:solidFill>
              <a:latin typeface="Aptos Narrow"/>
            </a:rPr>
            <a:pPr algn="r"/>
            <a:t>11</a:t>
          </a:fld>
          <a:endParaRPr lang="en-IN" sz="1800" b="1">
            <a:solidFill>
              <a:srgbClr val="E5B244"/>
            </a:solidFill>
            <a:latin typeface="Kulim park"/>
          </a:endParaRPr>
        </a:p>
      </xdr:txBody>
    </xdr:sp>
    <xdr:clientData/>
  </xdr:twoCellAnchor>
  <xdr:twoCellAnchor>
    <xdr:from>
      <xdr:col>1</xdr:col>
      <xdr:colOff>441230</xdr:colOff>
      <xdr:row>19</xdr:row>
      <xdr:rowOff>12467</xdr:rowOff>
    </xdr:from>
    <xdr:to>
      <xdr:col>3</xdr:col>
      <xdr:colOff>281540</xdr:colOff>
      <xdr:row>20</xdr:row>
      <xdr:rowOff>58115</xdr:rowOff>
    </xdr:to>
    <xdr:sp macro="" textlink="'pivot tables'!T14">
      <xdr:nvSpPr>
        <xdr:cNvPr id="115" name="TextBox 114">
          <a:extLst>
            <a:ext uri="{FF2B5EF4-FFF2-40B4-BE49-F238E27FC236}">
              <a16:creationId xmlns:a16="http://schemas.microsoft.com/office/drawing/2014/main" id="{C0606D97-D0AB-75BA-938A-3EFA951BBC65}"/>
            </a:ext>
          </a:extLst>
        </xdr:cNvPr>
        <xdr:cNvSpPr txBox="1"/>
      </xdr:nvSpPr>
      <xdr:spPr>
        <a:xfrm>
          <a:off x="1055410" y="3572631"/>
          <a:ext cx="1068671" cy="23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5BAE6B4-0402-4345-845C-5F63D03CA061}" type="TxLink">
            <a:rPr lang="en-US" sz="1800" b="1" i="0" u="none" strike="noStrike">
              <a:solidFill>
                <a:srgbClr val="E5B244"/>
              </a:solidFill>
              <a:latin typeface="Aptos Narrow"/>
            </a:rPr>
            <a:pPr algn="r"/>
            <a:t>7</a:t>
          </a:fld>
          <a:endParaRPr lang="en-IN" sz="1800" b="1">
            <a:solidFill>
              <a:srgbClr val="E5B244"/>
            </a:solidFill>
            <a:latin typeface="Kulim park"/>
          </a:endParaRPr>
        </a:p>
      </xdr:txBody>
    </xdr:sp>
    <xdr:clientData/>
  </xdr:twoCellAnchor>
  <xdr:twoCellAnchor>
    <xdr:from>
      <xdr:col>1</xdr:col>
      <xdr:colOff>465386</xdr:colOff>
      <xdr:row>20</xdr:row>
      <xdr:rowOff>58115</xdr:rowOff>
    </xdr:from>
    <xdr:to>
      <xdr:col>3</xdr:col>
      <xdr:colOff>305696</xdr:colOff>
      <xdr:row>21</xdr:row>
      <xdr:rowOff>104440</xdr:rowOff>
    </xdr:to>
    <xdr:sp macro="" textlink="'pivot tables'!T15">
      <xdr:nvSpPr>
        <xdr:cNvPr id="116" name="TextBox 115">
          <a:extLst>
            <a:ext uri="{FF2B5EF4-FFF2-40B4-BE49-F238E27FC236}">
              <a16:creationId xmlns:a16="http://schemas.microsoft.com/office/drawing/2014/main" id="{A0855DF8-27FF-598A-857F-3BEDA49DA4D8}"/>
            </a:ext>
          </a:extLst>
        </xdr:cNvPr>
        <xdr:cNvSpPr txBox="1"/>
      </xdr:nvSpPr>
      <xdr:spPr>
        <a:xfrm>
          <a:off x="1079566" y="3805656"/>
          <a:ext cx="1068671" cy="233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744C8ED-05A2-476D-8543-647ED462700F}" type="TxLink">
            <a:rPr lang="en-US" sz="1800" b="1" i="0" u="none" strike="noStrike">
              <a:solidFill>
                <a:srgbClr val="E5B244"/>
              </a:solidFill>
              <a:latin typeface="Aptos Narrow"/>
            </a:rPr>
            <a:pPr algn="r"/>
            <a:t>11</a:t>
          </a:fld>
          <a:endParaRPr lang="en-IN" sz="1800" b="1">
            <a:solidFill>
              <a:srgbClr val="E5B244"/>
            </a:solidFill>
            <a:latin typeface="Kulim park"/>
          </a:endParaRPr>
        </a:p>
      </xdr:txBody>
    </xdr:sp>
    <xdr:clientData/>
  </xdr:twoCellAnchor>
  <xdr:twoCellAnchor>
    <xdr:from>
      <xdr:col>1</xdr:col>
      <xdr:colOff>402149</xdr:colOff>
      <xdr:row>21</xdr:row>
      <xdr:rowOff>152676</xdr:rowOff>
    </xdr:from>
    <xdr:to>
      <xdr:col>3</xdr:col>
      <xdr:colOff>243536</xdr:colOff>
      <xdr:row>23</xdr:row>
      <xdr:rowOff>10947</xdr:rowOff>
    </xdr:to>
    <xdr:sp macro="" textlink="'pivot tables'!T16">
      <xdr:nvSpPr>
        <xdr:cNvPr id="117" name="TextBox 116">
          <a:extLst>
            <a:ext uri="{FF2B5EF4-FFF2-40B4-BE49-F238E27FC236}">
              <a16:creationId xmlns:a16="http://schemas.microsoft.com/office/drawing/2014/main" id="{3CF15503-2CA3-19A7-7979-83A2DFDC13C8}"/>
            </a:ext>
          </a:extLst>
        </xdr:cNvPr>
        <xdr:cNvSpPr txBox="1"/>
      </xdr:nvSpPr>
      <xdr:spPr>
        <a:xfrm>
          <a:off x="1016329" y="4087594"/>
          <a:ext cx="1069748" cy="23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0261ED2-CB0A-4841-B5E2-B0C6C43D77F7}" type="TxLink">
            <a:rPr lang="en-US" sz="1800" b="1" i="0" u="none" strike="noStrike">
              <a:solidFill>
                <a:srgbClr val="E5B244"/>
              </a:solidFill>
              <a:latin typeface="Aptos Narrow"/>
            </a:rPr>
            <a:pPr algn="r"/>
            <a:t>9</a:t>
          </a:fld>
          <a:endParaRPr lang="en-IN" sz="1800" b="1">
            <a:solidFill>
              <a:srgbClr val="E5B244"/>
            </a:solidFill>
            <a:latin typeface="Kulim park"/>
          </a:endParaRPr>
        </a:p>
      </xdr:txBody>
    </xdr:sp>
    <xdr:clientData/>
  </xdr:twoCellAnchor>
  <xdr:twoCellAnchor>
    <xdr:from>
      <xdr:col>0</xdr:col>
      <xdr:colOff>208086</xdr:colOff>
      <xdr:row>12</xdr:row>
      <xdr:rowOff>18993</xdr:rowOff>
    </xdr:from>
    <xdr:to>
      <xdr:col>3</xdr:col>
      <xdr:colOff>243537</xdr:colOff>
      <xdr:row>16</xdr:row>
      <xdr:rowOff>26000</xdr:rowOff>
    </xdr:to>
    <xdr:sp macro="" textlink="">
      <xdr:nvSpPr>
        <xdr:cNvPr id="123" name="TextBox 122">
          <a:extLst>
            <a:ext uri="{FF2B5EF4-FFF2-40B4-BE49-F238E27FC236}">
              <a16:creationId xmlns:a16="http://schemas.microsoft.com/office/drawing/2014/main" id="{218C0CE2-DC2F-428F-9CBF-FDB5F44915D5}"/>
            </a:ext>
          </a:extLst>
        </xdr:cNvPr>
        <xdr:cNvSpPr txBox="1"/>
      </xdr:nvSpPr>
      <xdr:spPr>
        <a:xfrm>
          <a:off x="208086" y="2267518"/>
          <a:ext cx="1877992" cy="756515"/>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bg1"/>
              </a:solidFill>
              <a:latin typeface="Kulim park"/>
            </a:rPr>
            <a:t>Skills Breakdown</a:t>
          </a:r>
          <a:endParaRPr lang="en-IN" sz="2000" b="1">
            <a:solidFill>
              <a:schemeClr val="bg1"/>
            </a:solidFill>
            <a:latin typeface="Kulim park"/>
          </a:endParaRPr>
        </a:p>
      </xdr:txBody>
    </xdr:sp>
    <xdr:clientData/>
  </xdr:twoCellAnchor>
  <xdr:twoCellAnchor editAs="oneCell">
    <xdr:from>
      <xdr:col>0</xdr:col>
      <xdr:colOff>426561</xdr:colOff>
      <xdr:row>8</xdr:row>
      <xdr:rowOff>18993</xdr:rowOff>
    </xdr:from>
    <xdr:to>
      <xdr:col>3</xdr:col>
      <xdr:colOff>3740</xdr:colOff>
      <xdr:row>12</xdr:row>
      <xdr:rowOff>18993</xdr:rowOff>
    </xdr:to>
    <xdr:pic>
      <xdr:nvPicPr>
        <xdr:cNvPr id="124" name="Picture 123">
          <a:extLst>
            <a:ext uri="{FF2B5EF4-FFF2-40B4-BE49-F238E27FC236}">
              <a16:creationId xmlns:a16="http://schemas.microsoft.com/office/drawing/2014/main" id="{416E954F-0744-084F-36A6-74F40CA9D0E4}"/>
            </a:ext>
          </a:extLst>
        </xdr:cNvPr>
        <xdr:cNvPicPr>
          <a:picLocks noChangeAspect="1"/>
        </xdr:cNvPicPr>
      </xdr:nvPicPr>
      <xdr:blipFill>
        <a:blip xmlns:r="http://schemas.openxmlformats.org/officeDocument/2006/relationships" r:embed="rId6"/>
        <a:stretch>
          <a:fillRect/>
        </a:stretch>
      </xdr:blipFill>
      <xdr:spPr>
        <a:xfrm>
          <a:off x="426561" y="1518009"/>
          <a:ext cx="1419720" cy="749509"/>
        </a:xfrm>
        <a:prstGeom prst="rect">
          <a:avLst/>
        </a:prstGeom>
      </xdr:spPr>
    </xdr:pic>
    <xdr:clientData/>
  </xdr:twoCellAnchor>
  <xdr:twoCellAnchor>
    <xdr:from>
      <xdr:col>12</xdr:col>
      <xdr:colOff>266956</xdr:colOff>
      <xdr:row>5</xdr:row>
      <xdr:rowOff>19294</xdr:rowOff>
    </xdr:from>
    <xdr:to>
      <xdr:col>13</xdr:col>
      <xdr:colOff>545548</xdr:colOff>
      <xdr:row>8</xdr:row>
      <xdr:rowOff>19294</xdr:rowOff>
    </xdr:to>
    <xdr:sp macro="" textlink="'pivot tables'!Z19">
      <xdr:nvSpPr>
        <xdr:cNvPr id="126" name="TextBox 125">
          <a:extLst>
            <a:ext uri="{FF2B5EF4-FFF2-40B4-BE49-F238E27FC236}">
              <a16:creationId xmlns:a16="http://schemas.microsoft.com/office/drawing/2014/main" id="{395E0981-FDBF-4052-ABB3-D1779B5062D9}"/>
            </a:ext>
          </a:extLst>
        </xdr:cNvPr>
        <xdr:cNvSpPr txBox="1"/>
      </xdr:nvSpPr>
      <xdr:spPr>
        <a:xfrm>
          <a:off x="7579077" y="949345"/>
          <a:ext cx="887936" cy="55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FAC7F1-CFD3-4ACF-BE4C-416A1B230E1B}" type="TxLink">
            <a:rPr lang="en-US" sz="4000" b="1" i="0" u="none" strike="noStrike">
              <a:solidFill>
                <a:schemeClr val="bg1"/>
              </a:solidFill>
              <a:latin typeface="Aptos Narrow"/>
            </a:rPr>
            <a:pPr/>
            <a:t>2.6</a:t>
          </a:fld>
          <a:endParaRPr lang="en-IN" sz="4000" b="1">
            <a:solidFill>
              <a:schemeClr val="bg1"/>
            </a:solidFill>
            <a:latin typeface="Kulim park"/>
          </a:endParaRPr>
        </a:p>
      </xdr:txBody>
    </xdr:sp>
    <xdr:clientData/>
  </xdr:twoCellAnchor>
  <xdr:twoCellAnchor>
    <xdr:from>
      <xdr:col>12</xdr:col>
      <xdr:colOff>208359</xdr:colOff>
      <xdr:row>8</xdr:row>
      <xdr:rowOff>39311</xdr:rowOff>
    </xdr:from>
    <xdr:to>
      <xdr:col>14</xdr:col>
      <xdr:colOff>152922</xdr:colOff>
      <xdr:row>9</xdr:row>
      <xdr:rowOff>129986</xdr:rowOff>
    </xdr:to>
    <xdr:sp macro="" textlink="">
      <xdr:nvSpPr>
        <xdr:cNvPr id="127" name="TextBox 126">
          <a:extLst>
            <a:ext uri="{FF2B5EF4-FFF2-40B4-BE49-F238E27FC236}">
              <a16:creationId xmlns:a16="http://schemas.microsoft.com/office/drawing/2014/main" id="{60A043EF-D00F-41E2-BC98-0BC483A5C6A2}"/>
            </a:ext>
          </a:extLst>
        </xdr:cNvPr>
        <xdr:cNvSpPr txBox="1"/>
      </xdr:nvSpPr>
      <xdr:spPr>
        <a:xfrm>
          <a:off x="7520480" y="1527392"/>
          <a:ext cx="1163250" cy="276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Kulim park"/>
            </a:rPr>
            <a:t>Average Rating</a:t>
          </a:r>
          <a:endParaRPr lang="en-IN" sz="1100" b="1">
            <a:solidFill>
              <a:schemeClr val="bg1"/>
            </a:solidFill>
            <a:latin typeface="Kulim park"/>
          </a:endParaRPr>
        </a:p>
      </xdr:txBody>
    </xdr:sp>
    <xdr:clientData/>
  </xdr:twoCellAnchor>
  <xdr:twoCellAnchor>
    <xdr:from>
      <xdr:col>3</xdr:col>
      <xdr:colOff>398674</xdr:colOff>
      <xdr:row>8</xdr:row>
      <xdr:rowOff>12507</xdr:rowOff>
    </xdr:from>
    <xdr:to>
      <xdr:col>7</xdr:col>
      <xdr:colOff>400179</xdr:colOff>
      <xdr:row>9</xdr:row>
      <xdr:rowOff>180371</xdr:rowOff>
    </xdr:to>
    <xdr:sp macro="" textlink="'pivot tables'!F17">
      <xdr:nvSpPr>
        <xdr:cNvPr id="128" name="TextBox 127">
          <a:extLst>
            <a:ext uri="{FF2B5EF4-FFF2-40B4-BE49-F238E27FC236}">
              <a16:creationId xmlns:a16="http://schemas.microsoft.com/office/drawing/2014/main" id="{00CFCC5A-5D7A-4DFC-BD7A-CE089F1AB3CA}"/>
            </a:ext>
          </a:extLst>
        </xdr:cNvPr>
        <xdr:cNvSpPr txBox="1"/>
      </xdr:nvSpPr>
      <xdr:spPr>
        <a:xfrm>
          <a:off x="2241215" y="1511523"/>
          <a:ext cx="2458226" cy="355241"/>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Kulim park"/>
              <a:ea typeface="+mn-ea"/>
              <a:cs typeface="+mn-cs"/>
            </a:rPr>
            <a:t>Employees</a:t>
          </a:r>
          <a:r>
            <a:rPr lang="en-IN" sz="1600" b="1" baseline="0">
              <a:solidFill>
                <a:schemeClr val="bg1"/>
              </a:solidFill>
              <a:latin typeface="Kulim park"/>
              <a:ea typeface="+mn-ea"/>
              <a:cs typeface="+mn-cs"/>
            </a:rPr>
            <a:t> Number</a:t>
          </a:r>
          <a:endParaRPr lang="en-IN" sz="1600" b="1">
            <a:solidFill>
              <a:schemeClr val="bg1"/>
            </a:solidFill>
            <a:latin typeface="Kulim park"/>
            <a:ea typeface="+mn-ea"/>
            <a:cs typeface="+mn-cs"/>
          </a:endParaRPr>
        </a:p>
      </xdr:txBody>
    </xdr:sp>
    <xdr:clientData/>
  </xdr:twoCellAnchor>
  <xdr:twoCellAnchor editAs="oneCell">
    <xdr:from>
      <xdr:col>5</xdr:col>
      <xdr:colOff>366335</xdr:colOff>
      <xdr:row>10</xdr:row>
      <xdr:rowOff>0</xdr:rowOff>
    </xdr:from>
    <xdr:to>
      <xdr:col>7</xdr:col>
      <xdr:colOff>406468</xdr:colOff>
      <xdr:row>14</xdr:row>
      <xdr:rowOff>0</xdr:rowOff>
    </xdr:to>
    <xdr:pic>
      <xdr:nvPicPr>
        <xdr:cNvPr id="130" name="Picture 129" descr="Download HD Better Benefits For ...">
          <a:extLst>
            <a:ext uri="{FF2B5EF4-FFF2-40B4-BE49-F238E27FC236}">
              <a16:creationId xmlns:a16="http://schemas.microsoft.com/office/drawing/2014/main" id="{A32D433A-0E64-7085-3CB8-ECBABB9BDEC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437237" y="1873770"/>
          <a:ext cx="1268493" cy="749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417390</xdr:colOff>
      <xdr:row>14</xdr:row>
      <xdr:rowOff>152400</xdr:rowOff>
    </xdr:from>
    <xdr:to>
      <xdr:col>5</xdr:col>
      <xdr:colOff>366335</xdr:colOff>
      <xdr:row>16</xdr:row>
      <xdr:rowOff>132887</xdr:rowOff>
    </xdr:to>
    <xdr:sp macro="" textlink="'pivot tables'!F17">
      <xdr:nvSpPr>
        <xdr:cNvPr id="131" name="TextBox 130">
          <a:extLst>
            <a:ext uri="{FF2B5EF4-FFF2-40B4-BE49-F238E27FC236}">
              <a16:creationId xmlns:a16="http://schemas.microsoft.com/office/drawing/2014/main" id="{2B306881-09E9-47DE-9CC4-030CFE366DF5}"/>
            </a:ext>
          </a:extLst>
        </xdr:cNvPr>
        <xdr:cNvSpPr txBox="1"/>
      </xdr:nvSpPr>
      <xdr:spPr>
        <a:xfrm>
          <a:off x="2259931" y="2775679"/>
          <a:ext cx="1177306" cy="355241"/>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Kulim park"/>
              <a:ea typeface="+mn-ea"/>
              <a:cs typeface="+mn-cs"/>
            </a:rPr>
            <a:t>Male</a:t>
          </a:r>
        </a:p>
      </xdr:txBody>
    </xdr:sp>
    <xdr:clientData/>
  </xdr:twoCellAnchor>
  <xdr:twoCellAnchor>
    <xdr:from>
      <xdr:col>5</xdr:col>
      <xdr:colOff>473911</xdr:colOff>
      <xdr:row>14</xdr:row>
      <xdr:rowOff>152400</xdr:rowOff>
    </xdr:from>
    <xdr:to>
      <xdr:col>7</xdr:col>
      <xdr:colOff>400179</xdr:colOff>
      <xdr:row>16</xdr:row>
      <xdr:rowOff>132887</xdr:rowOff>
    </xdr:to>
    <xdr:sp macro="" textlink="'pivot tables'!F17">
      <xdr:nvSpPr>
        <xdr:cNvPr id="132" name="TextBox 131">
          <a:extLst>
            <a:ext uri="{FF2B5EF4-FFF2-40B4-BE49-F238E27FC236}">
              <a16:creationId xmlns:a16="http://schemas.microsoft.com/office/drawing/2014/main" id="{4049A21F-44F1-4B95-9FD6-E5E044C1D2CD}"/>
            </a:ext>
          </a:extLst>
        </xdr:cNvPr>
        <xdr:cNvSpPr txBox="1"/>
      </xdr:nvSpPr>
      <xdr:spPr>
        <a:xfrm>
          <a:off x="3544813" y="2775679"/>
          <a:ext cx="1154628" cy="355241"/>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Kulim park"/>
              <a:ea typeface="+mn-ea"/>
              <a:cs typeface="+mn-cs"/>
            </a:rPr>
            <a:t>Female</a:t>
          </a:r>
        </a:p>
      </xdr:txBody>
    </xdr:sp>
    <xdr:clientData/>
  </xdr:twoCellAnchor>
  <xdr:twoCellAnchor>
    <xdr:from>
      <xdr:col>4</xdr:col>
      <xdr:colOff>31631</xdr:colOff>
      <xdr:row>16</xdr:row>
      <xdr:rowOff>88432</xdr:rowOff>
    </xdr:from>
    <xdr:to>
      <xdr:col>5</xdr:col>
      <xdr:colOff>223737</xdr:colOff>
      <xdr:row>20</xdr:row>
      <xdr:rowOff>166120</xdr:rowOff>
    </xdr:to>
    <xdr:graphicFrame macro="">
      <xdr:nvGraphicFramePr>
        <xdr:cNvPr id="133" name="Chart 132">
          <a:extLst>
            <a:ext uri="{FF2B5EF4-FFF2-40B4-BE49-F238E27FC236}">
              <a16:creationId xmlns:a16="http://schemas.microsoft.com/office/drawing/2014/main" id="{2E6E98D5-7BA7-40F7-96AD-D6A6B258D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473911</xdr:colOff>
      <xdr:row>16</xdr:row>
      <xdr:rowOff>122722</xdr:rowOff>
    </xdr:from>
    <xdr:to>
      <xdr:col>7</xdr:col>
      <xdr:colOff>400179</xdr:colOff>
      <xdr:row>20</xdr:row>
      <xdr:rowOff>150126</xdr:rowOff>
    </xdr:to>
    <xdr:graphicFrame macro="">
      <xdr:nvGraphicFramePr>
        <xdr:cNvPr id="136" name="Chart 135">
          <a:extLst>
            <a:ext uri="{FF2B5EF4-FFF2-40B4-BE49-F238E27FC236}">
              <a16:creationId xmlns:a16="http://schemas.microsoft.com/office/drawing/2014/main" id="{9E7E4BBB-92A9-4B12-897C-A5742882D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160740</xdr:colOff>
      <xdr:row>17</xdr:row>
      <xdr:rowOff>58723</xdr:rowOff>
    </xdr:from>
    <xdr:to>
      <xdr:col>5</xdr:col>
      <xdr:colOff>0</xdr:colOff>
      <xdr:row>20</xdr:row>
      <xdr:rowOff>41523</xdr:rowOff>
    </xdr:to>
    <xdr:sp macro="" textlink="'pivot tables'!L21">
      <xdr:nvSpPr>
        <xdr:cNvPr id="137" name="TextBox 136">
          <a:extLst>
            <a:ext uri="{FF2B5EF4-FFF2-40B4-BE49-F238E27FC236}">
              <a16:creationId xmlns:a16="http://schemas.microsoft.com/office/drawing/2014/main" id="{87A8F8BC-8B0A-4688-9654-CDC47CBE51DD}"/>
            </a:ext>
          </a:extLst>
        </xdr:cNvPr>
        <xdr:cNvSpPr txBox="1"/>
      </xdr:nvSpPr>
      <xdr:spPr>
        <a:xfrm>
          <a:off x="2617461" y="3244133"/>
          <a:ext cx="453441" cy="5449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A1DFEFFF-2FB8-472A-9279-66A05964AAB2}" type="TxLink">
            <a:rPr lang="en-US" sz="1050" b="1" i="0" u="none" strike="noStrike">
              <a:solidFill>
                <a:srgbClr val="E5B244"/>
              </a:solidFill>
              <a:latin typeface="Kulim Park"/>
              <a:ea typeface="+mn-ea"/>
              <a:cs typeface="+mn-cs"/>
            </a:rPr>
            <a:pPr marL="0" indent="0" algn="r"/>
            <a:t>88%</a:t>
          </a:fld>
          <a:endParaRPr lang="en-IN" sz="1200" b="1">
            <a:solidFill>
              <a:srgbClr val="E5B244"/>
            </a:solidFill>
            <a:latin typeface="Kulim park"/>
            <a:ea typeface="+mn-ea"/>
            <a:cs typeface="+mn-cs"/>
          </a:endParaRPr>
        </a:p>
      </xdr:txBody>
    </xdr:sp>
    <xdr:clientData/>
  </xdr:twoCellAnchor>
  <xdr:twoCellAnchor>
    <xdr:from>
      <xdr:col>6</xdr:col>
      <xdr:colOff>176967</xdr:colOff>
      <xdr:row>17</xdr:row>
      <xdr:rowOff>58723</xdr:rowOff>
    </xdr:from>
    <xdr:to>
      <xdr:col>7</xdr:col>
      <xdr:colOff>16228</xdr:colOff>
      <xdr:row>20</xdr:row>
      <xdr:rowOff>41523</xdr:rowOff>
    </xdr:to>
    <xdr:sp macro="" textlink="'pivot tables'!L22">
      <xdr:nvSpPr>
        <xdr:cNvPr id="138" name="TextBox 137">
          <a:extLst>
            <a:ext uri="{FF2B5EF4-FFF2-40B4-BE49-F238E27FC236}">
              <a16:creationId xmlns:a16="http://schemas.microsoft.com/office/drawing/2014/main" id="{9DF8F9E0-0F31-4A8C-A5F0-9510FC7B20D1}"/>
            </a:ext>
          </a:extLst>
        </xdr:cNvPr>
        <xdr:cNvSpPr txBox="1"/>
      </xdr:nvSpPr>
      <xdr:spPr>
        <a:xfrm>
          <a:off x="3862049" y="3244133"/>
          <a:ext cx="453441" cy="5449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67AA3EB4-F0DD-4A7E-B784-F0981F246B1D}" type="TxLink">
            <a:rPr lang="en-US" sz="1100" b="1" i="0" u="none" strike="noStrike">
              <a:solidFill>
                <a:srgbClr val="E5B244"/>
              </a:solidFill>
              <a:latin typeface="Kulim Park"/>
              <a:ea typeface="+mn-ea"/>
              <a:cs typeface="+mn-cs"/>
            </a:rPr>
            <a:pPr marL="0" indent="0" algn="r"/>
            <a:t>13%</a:t>
          </a:fld>
          <a:endParaRPr lang="en-IN" sz="1200" b="1">
            <a:solidFill>
              <a:srgbClr val="E5B244"/>
            </a:solidFill>
            <a:latin typeface="Kulim park"/>
            <a:ea typeface="+mn-ea"/>
            <a:cs typeface="+mn-cs"/>
          </a:endParaRPr>
        </a:p>
      </xdr:txBody>
    </xdr:sp>
    <xdr:clientData/>
  </xdr:twoCellAnchor>
  <xdr:twoCellAnchor>
    <xdr:from>
      <xdr:col>7</xdr:col>
      <xdr:colOff>531246</xdr:colOff>
      <xdr:row>10</xdr:row>
      <xdr:rowOff>0</xdr:rowOff>
    </xdr:from>
    <xdr:to>
      <xdr:col>11</xdr:col>
      <xdr:colOff>528369</xdr:colOff>
      <xdr:row>20</xdr:row>
      <xdr:rowOff>92517</xdr:rowOff>
    </xdr:to>
    <xdr:graphicFrame macro="">
      <xdr:nvGraphicFramePr>
        <xdr:cNvPr id="140" name="Chart 139">
          <a:extLst>
            <a:ext uri="{FF2B5EF4-FFF2-40B4-BE49-F238E27FC236}">
              <a16:creationId xmlns:a16="http://schemas.microsoft.com/office/drawing/2014/main" id="{BA468A22-875F-4D61-B537-5BAF502FD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603232</xdr:colOff>
      <xdr:row>8</xdr:row>
      <xdr:rowOff>19294</xdr:rowOff>
    </xdr:from>
    <xdr:to>
      <xdr:col>11</xdr:col>
      <xdr:colOff>466896</xdr:colOff>
      <xdr:row>10</xdr:row>
      <xdr:rowOff>0</xdr:rowOff>
    </xdr:to>
    <xdr:sp macro="" textlink="'pivot tables'!F17">
      <xdr:nvSpPr>
        <xdr:cNvPr id="141" name="TextBox 140">
          <a:extLst>
            <a:ext uri="{FF2B5EF4-FFF2-40B4-BE49-F238E27FC236}">
              <a16:creationId xmlns:a16="http://schemas.microsoft.com/office/drawing/2014/main" id="{A4F0C7BB-309B-4C33-984F-2DBB2E9D384F}"/>
            </a:ext>
          </a:extLst>
        </xdr:cNvPr>
        <xdr:cNvSpPr txBox="1"/>
      </xdr:nvSpPr>
      <xdr:spPr>
        <a:xfrm>
          <a:off x="4861074" y="1516557"/>
          <a:ext cx="2296717" cy="355022"/>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Kulim park"/>
              <a:ea typeface="+mn-ea"/>
              <a:cs typeface="+mn-cs"/>
            </a:rPr>
            <a:t>Leaves</a:t>
          </a:r>
          <a:r>
            <a:rPr lang="en-IN" sz="1600" b="1" baseline="0">
              <a:solidFill>
                <a:schemeClr val="bg1"/>
              </a:solidFill>
              <a:latin typeface="Kulim park"/>
              <a:ea typeface="+mn-ea"/>
              <a:cs typeface="+mn-cs"/>
            </a:rPr>
            <a:t> Tracking</a:t>
          </a:r>
          <a:endParaRPr lang="en-IN" sz="1600" b="1">
            <a:solidFill>
              <a:schemeClr val="bg1"/>
            </a:solidFill>
            <a:latin typeface="Kulim park"/>
            <a:ea typeface="+mn-ea"/>
            <a:cs typeface="+mn-cs"/>
          </a:endParaRPr>
        </a:p>
      </xdr:txBody>
    </xdr:sp>
    <xdr:clientData/>
  </xdr:twoCellAnchor>
  <xdr:twoCellAnchor>
    <xdr:from>
      <xdr:col>12</xdr:col>
      <xdr:colOff>161293</xdr:colOff>
      <xdr:row>11</xdr:row>
      <xdr:rowOff>184354</xdr:rowOff>
    </xdr:from>
    <xdr:to>
      <xdr:col>16</xdr:col>
      <xdr:colOff>352593</xdr:colOff>
      <xdr:row>20</xdr:row>
      <xdr:rowOff>-1</xdr:rowOff>
    </xdr:to>
    <xdr:graphicFrame macro="">
      <xdr:nvGraphicFramePr>
        <xdr:cNvPr id="142" name="Chart 141">
          <a:extLst>
            <a:ext uri="{FF2B5EF4-FFF2-40B4-BE49-F238E27FC236}">
              <a16:creationId xmlns:a16="http://schemas.microsoft.com/office/drawing/2014/main" id="{2044697E-B83E-4ACC-83B3-4C25EB520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161293</xdr:colOff>
      <xdr:row>10</xdr:row>
      <xdr:rowOff>98101</xdr:rowOff>
    </xdr:from>
    <xdr:to>
      <xdr:col>16</xdr:col>
      <xdr:colOff>162799</xdr:colOff>
      <xdr:row>12</xdr:row>
      <xdr:rowOff>81610</xdr:rowOff>
    </xdr:to>
    <xdr:sp macro="" textlink="'pivot tables'!F17">
      <xdr:nvSpPr>
        <xdr:cNvPr id="143" name="TextBox 142">
          <a:extLst>
            <a:ext uri="{FF2B5EF4-FFF2-40B4-BE49-F238E27FC236}">
              <a16:creationId xmlns:a16="http://schemas.microsoft.com/office/drawing/2014/main" id="{1333631C-B79D-4053-B046-0AE500F80207}"/>
            </a:ext>
          </a:extLst>
        </xdr:cNvPr>
        <xdr:cNvSpPr txBox="1"/>
      </xdr:nvSpPr>
      <xdr:spPr>
        <a:xfrm>
          <a:off x="7535487" y="1941649"/>
          <a:ext cx="2459570" cy="352219"/>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Kulim park"/>
              <a:ea typeface="+mn-ea"/>
              <a:cs typeface="+mn-cs"/>
            </a:rPr>
            <a:t>Region</a:t>
          </a:r>
          <a:r>
            <a:rPr lang="en-IN" sz="1600" b="1" baseline="0">
              <a:solidFill>
                <a:schemeClr val="bg1"/>
              </a:solidFill>
              <a:latin typeface="Kulim park"/>
              <a:ea typeface="+mn-ea"/>
              <a:cs typeface="+mn-cs"/>
            </a:rPr>
            <a:t> wise Employees</a:t>
          </a:r>
          <a:endParaRPr lang="en-IN" sz="1600" b="1">
            <a:solidFill>
              <a:schemeClr val="bg1"/>
            </a:solidFill>
            <a:latin typeface="Kulim park"/>
            <a:ea typeface="+mn-ea"/>
            <a:cs typeface="+mn-cs"/>
          </a:endParaRPr>
        </a:p>
      </xdr:txBody>
    </xdr:sp>
    <xdr:clientData/>
  </xdr:twoCellAnchor>
  <xdr:twoCellAnchor editAs="oneCell">
    <xdr:from>
      <xdr:col>14</xdr:col>
      <xdr:colOff>288948</xdr:colOff>
      <xdr:row>5</xdr:row>
      <xdr:rowOff>70555</xdr:rowOff>
    </xdr:from>
    <xdr:to>
      <xdr:col>16</xdr:col>
      <xdr:colOff>195401</xdr:colOff>
      <xdr:row>9</xdr:row>
      <xdr:rowOff>180370</xdr:rowOff>
    </xdr:to>
    <xdr:pic>
      <xdr:nvPicPr>
        <xdr:cNvPr id="144" name="Picture 143">
          <a:extLst>
            <a:ext uri="{FF2B5EF4-FFF2-40B4-BE49-F238E27FC236}">
              <a16:creationId xmlns:a16="http://schemas.microsoft.com/office/drawing/2014/main" id="{0B9ABF83-ED6E-E437-062C-3C0F896C177F}"/>
            </a:ext>
          </a:extLst>
        </xdr:cNvPr>
        <xdr:cNvPicPr>
          <a:picLocks noChangeAspect="1"/>
        </xdr:cNvPicPr>
      </xdr:nvPicPr>
      <xdr:blipFill>
        <a:blip xmlns:r="http://schemas.openxmlformats.org/officeDocument/2006/relationships" r:embed="rId12"/>
        <a:stretch>
          <a:fillRect/>
        </a:stretch>
      </xdr:blipFill>
      <xdr:spPr>
        <a:xfrm>
          <a:off x="8819756" y="1000606"/>
          <a:ext cx="1125140" cy="853855"/>
        </a:xfrm>
        <a:prstGeom prst="rect">
          <a:avLst/>
        </a:prstGeom>
      </xdr:spPr>
    </xdr:pic>
    <xdr:clientData/>
  </xdr:twoCellAnchor>
  <xdr:twoCellAnchor>
    <xdr:from>
      <xdr:col>12</xdr:col>
      <xdr:colOff>223430</xdr:colOff>
      <xdr:row>3</xdr:row>
      <xdr:rowOff>20694</xdr:rowOff>
    </xdr:from>
    <xdr:to>
      <xdr:col>16</xdr:col>
      <xdr:colOff>224936</xdr:colOff>
      <xdr:row>5</xdr:row>
      <xdr:rowOff>4202</xdr:rowOff>
    </xdr:to>
    <xdr:sp macro="" textlink="'pivot tables'!F17">
      <xdr:nvSpPr>
        <xdr:cNvPr id="146" name="TextBox 145">
          <a:extLst>
            <a:ext uri="{FF2B5EF4-FFF2-40B4-BE49-F238E27FC236}">
              <a16:creationId xmlns:a16="http://schemas.microsoft.com/office/drawing/2014/main" id="{56206D09-19C6-4380-9A1B-2D41A5096C74}"/>
            </a:ext>
          </a:extLst>
        </xdr:cNvPr>
        <xdr:cNvSpPr txBox="1"/>
      </xdr:nvSpPr>
      <xdr:spPr>
        <a:xfrm>
          <a:off x="7535551" y="578724"/>
          <a:ext cx="2438880" cy="355529"/>
        </a:xfrm>
        <a:prstGeom prst="rect">
          <a:avLst/>
        </a:prstGeom>
        <a:solidFill>
          <a:srgbClr val="E5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Kulim park"/>
              <a:ea typeface="+mn-ea"/>
              <a:cs typeface="+mn-cs"/>
            </a:rPr>
            <a:t>Average Performance Rating</a:t>
          </a:r>
        </a:p>
      </xdr:txBody>
    </xdr:sp>
    <xdr:clientData/>
  </xdr:twoCellAnchor>
  <xdr:twoCellAnchor editAs="oneCell">
    <xdr:from>
      <xdr:col>0</xdr:col>
      <xdr:colOff>426561</xdr:colOff>
      <xdr:row>2</xdr:row>
      <xdr:rowOff>0</xdr:rowOff>
    </xdr:from>
    <xdr:to>
      <xdr:col>2</xdr:col>
      <xdr:colOff>520254</xdr:colOff>
      <xdr:row>7</xdr:row>
      <xdr:rowOff>141163</xdr:rowOff>
    </xdr:to>
    <xdr:pic>
      <xdr:nvPicPr>
        <xdr:cNvPr id="147" name="Picture 146">
          <a:extLst>
            <a:ext uri="{FF2B5EF4-FFF2-40B4-BE49-F238E27FC236}">
              <a16:creationId xmlns:a16="http://schemas.microsoft.com/office/drawing/2014/main" id="{77A76911-34FC-FD89-17A0-646318D915DD}"/>
            </a:ext>
          </a:extLst>
        </xdr:cNvPr>
        <xdr:cNvPicPr>
          <a:picLocks noChangeAspect="1"/>
        </xdr:cNvPicPr>
      </xdr:nvPicPr>
      <xdr:blipFill>
        <a:blip xmlns:r="http://schemas.openxmlformats.org/officeDocument/2006/relationships" r:embed="rId13"/>
        <a:stretch>
          <a:fillRect/>
        </a:stretch>
      </xdr:blipFill>
      <xdr:spPr>
        <a:xfrm>
          <a:off x="426561" y="377031"/>
          <a:ext cx="1304162" cy="1083741"/>
        </a:xfrm>
        <a:prstGeom prst="rect">
          <a:avLst/>
        </a:prstGeom>
      </xdr:spPr>
    </xdr:pic>
    <xdr:clientData/>
  </xdr:twoCellAnchor>
  <xdr:oneCellAnchor>
    <xdr:from>
      <xdr:col>3</xdr:col>
      <xdr:colOff>16040</xdr:colOff>
      <xdr:row>0</xdr:row>
      <xdr:rowOff>97440</xdr:rowOff>
    </xdr:from>
    <xdr:ext cx="3026171" cy="1363332"/>
    <xdr:sp macro="" textlink="">
      <xdr:nvSpPr>
        <xdr:cNvPr id="151" name="TextBox 150">
          <a:extLst>
            <a:ext uri="{FF2B5EF4-FFF2-40B4-BE49-F238E27FC236}">
              <a16:creationId xmlns:a16="http://schemas.microsoft.com/office/drawing/2014/main" id="{29004A92-2EC5-1638-5A96-A17E862937DF}"/>
            </a:ext>
          </a:extLst>
        </xdr:cNvPr>
        <xdr:cNvSpPr txBox="1"/>
      </xdr:nvSpPr>
      <xdr:spPr>
        <a:xfrm>
          <a:off x="1831743" y="97440"/>
          <a:ext cx="3026171" cy="1363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400" b="1">
              <a:solidFill>
                <a:srgbClr val="FFC000"/>
              </a:solidFill>
              <a:latin typeface="Kulim park"/>
            </a:rPr>
            <a:t>HR</a:t>
          </a:r>
          <a:r>
            <a:rPr lang="en-IN" sz="2800" b="1">
              <a:solidFill>
                <a:srgbClr val="FFC000"/>
              </a:solidFill>
              <a:latin typeface="Kulim park"/>
            </a:rPr>
            <a:t> </a:t>
          </a:r>
        </a:p>
        <a:p>
          <a:r>
            <a:rPr lang="en-IN" sz="3600" b="1">
              <a:solidFill>
                <a:srgbClr val="FFC000"/>
              </a:solidFill>
              <a:latin typeface="Kulim park"/>
            </a:rPr>
            <a:t>DASHBOARD</a:t>
          </a:r>
        </a:p>
      </xdr:txBody>
    </xdr:sp>
    <xdr:clientData/>
  </xdr:oneCellAnchor>
  <xdr:oneCellAnchor>
    <xdr:from>
      <xdr:col>7</xdr:col>
      <xdr:colOff>115447</xdr:colOff>
      <xdr:row>5</xdr:row>
      <xdr:rowOff>90399</xdr:rowOff>
    </xdr:from>
    <xdr:ext cx="3072018" cy="377031"/>
    <xdr:sp macro="" textlink="">
      <xdr:nvSpPr>
        <xdr:cNvPr id="152" name="TextBox 151">
          <a:extLst>
            <a:ext uri="{FF2B5EF4-FFF2-40B4-BE49-F238E27FC236}">
              <a16:creationId xmlns:a16="http://schemas.microsoft.com/office/drawing/2014/main" id="{2FFA9B53-317F-795E-52A0-8BFB702A1404}"/>
            </a:ext>
          </a:extLst>
        </xdr:cNvPr>
        <xdr:cNvSpPr txBox="1"/>
      </xdr:nvSpPr>
      <xdr:spPr>
        <a:xfrm>
          <a:off x="4352088" y="1032977"/>
          <a:ext cx="3072018" cy="377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rgbClr val="FFC000"/>
              </a:solidFill>
            </a:rPr>
            <a:t>Analyze</a:t>
          </a:r>
          <a:r>
            <a:rPr lang="en-IN" sz="1400" baseline="0">
              <a:solidFill>
                <a:srgbClr val="FFC000"/>
              </a:solidFill>
            </a:rPr>
            <a:t> and monitor the HR department</a:t>
          </a:r>
          <a:endParaRPr lang="en-IN" sz="1400">
            <a:solidFill>
              <a:srgbClr val="FFC000"/>
            </a:solidFill>
          </a:endParaRPr>
        </a:p>
      </xdr:txBody>
    </xdr:sp>
    <xdr:clientData/>
  </xdr:oneCellAnchor>
  <xdr:twoCellAnchor editAs="oneCell">
    <xdr:from>
      <xdr:col>20</xdr:col>
      <xdr:colOff>155575</xdr:colOff>
      <xdr:row>0</xdr:row>
      <xdr:rowOff>156307</xdr:rowOff>
    </xdr:from>
    <xdr:to>
      <xdr:col>25</xdr:col>
      <xdr:colOff>0</xdr:colOff>
      <xdr:row>5</xdr:row>
      <xdr:rowOff>1</xdr:rowOff>
    </xdr:to>
    <mc:AlternateContent xmlns:mc="http://schemas.openxmlformats.org/markup-compatibility/2006" xmlns:a14="http://schemas.microsoft.com/office/drawing/2010/main">
      <mc:Choice Requires="a14">
        <xdr:graphicFrame macro="">
          <xdr:nvGraphicFramePr>
            <xdr:cNvPr id="155" name="Gender">
              <a:extLst>
                <a:ext uri="{FF2B5EF4-FFF2-40B4-BE49-F238E27FC236}">
                  <a16:creationId xmlns:a16="http://schemas.microsoft.com/office/drawing/2014/main" id="{4046C9A7-48FB-4BAA-9C78-B43AB7E4F5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11289" y="156307"/>
              <a:ext cx="2883354" cy="750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188516</xdr:colOff>
      <xdr:row>6</xdr:row>
      <xdr:rowOff>1</xdr:rowOff>
    </xdr:from>
    <xdr:to>
      <xdr:col>24</xdr:col>
      <xdr:colOff>588565</xdr:colOff>
      <xdr:row>11</xdr:row>
      <xdr:rowOff>1</xdr:rowOff>
    </xdr:to>
    <mc:AlternateContent xmlns:mc="http://schemas.openxmlformats.org/markup-compatibility/2006" xmlns:a14="http://schemas.microsoft.com/office/drawing/2010/main">
      <mc:Choice Requires="a14">
        <xdr:graphicFrame macro="">
          <xdr:nvGraphicFramePr>
            <xdr:cNvPr id="156" name="Department">
              <a:extLst>
                <a:ext uri="{FF2B5EF4-FFF2-40B4-BE49-F238E27FC236}">
                  <a16:creationId xmlns:a16="http://schemas.microsoft.com/office/drawing/2014/main" id="{3617431A-97F8-43E8-B14A-17DC9955B87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44230" y="1088572"/>
              <a:ext cx="2831192" cy="907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363854</xdr:colOff>
      <xdr:row>9</xdr:row>
      <xdr:rowOff>180372</xdr:rowOff>
    </xdr:from>
    <xdr:to>
      <xdr:col>5</xdr:col>
      <xdr:colOff>223737</xdr:colOff>
      <xdr:row>13</xdr:row>
      <xdr:rowOff>0</xdr:rowOff>
    </xdr:to>
    <xdr:sp macro="" textlink="'pivot tables'!W18">
      <xdr:nvSpPr>
        <xdr:cNvPr id="157" name="TextBox 156">
          <a:extLst>
            <a:ext uri="{FF2B5EF4-FFF2-40B4-BE49-F238E27FC236}">
              <a16:creationId xmlns:a16="http://schemas.microsoft.com/office/drawing/2014/main" id="{F27FD7A1-8C0C-48B5-8994-908E699225F0}"/>
            </a:ext>
          </a:extLst>
        </xdr:cNvPr>
        <xdr:cNvSpPr txBox="1"/>
      </xdr:nvSpPr>
      <xdr:spPr>
        <a:xfrm>
          <a:off x="2179557" y="1877013"/>
          <a:ext cx="1070352" cy="57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8AC4A1-29AB-4214-8603-DFE9BC82D40C}" type="TxLink">
            <a:rPr lang="en-US" sz="4000" b="1" i="0" u="none" strike="noStrike">
              <a:solidFill>
                <a:schemeClr val="bg1"/>
              </a:solidFill>
              <a:latin typeface="Kulim Park"/>
            </a:rPr>
            <a:pPr/>
            <a:t>50</a:t>
          </a:fld>
          <a:endParaRPr lang="en-IN" sz="4000" b="1">
            <a:solidFill>
              <a:schemeClr val="bg1"/>
            </a:solidFill>
            <a:latin typeface="Kulim park"/>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Aj" refreshedDate="45975.047981481483" createdVersion="8" refreshedVersion="8" minRefreshableVersion="3" recordCount="50" xr:uid="{60C10919-A2F6-474C-9338-7AAADC286966}">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389620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n v="53700"/>
    <s v="C"/>
    <n v="1463"/>
    <s v="Health"/>
    <n v="1"/>
    <n v="1"/>
    <s v="Leadership Training"/>
    <x v="0"/>
    <s v="Certified Professional"/>
  </r>
  <r>
    <n v="9116"/>
    <x v="1"/>
    <x v="1"/>
    <n v="27"/>
    <x v="1"/>
    <x v="1"/>
    <x v="1"/>
    <x v="1"/>
    <s v="Ashley Simmons MD"/>
    <s v="2022-12-20"/>
    <x v="0"/>
    <x v="1"/>
    <n v="91091"/>
    <s v="B"/>
    <n v="1024"/>
    <s v="None"/>
    <n v="19"/>
    <n v="4"/>
    <s v="Excel Workshop"/>
    <x v="0"/>
    <s v="Certified Professional"/>
  </r>
  <r>
    <n v="5120"/>
    <x v="2"/>
    <x v="1"/>
    <n v="34"/>
    <x v="1"/>
    <x v="2"/>
    <x v="2"/>
    <x v="2"/>
    <s v="Cassandra Duncan"/>
    <s v="2022-08-10"/>
    <x v="0"/>
    <x v="2"/>
    <n v="57538"/>
    <s v="D"/>
    <n v="1674"/>
    <s v="None"/>
    <n v="8"/>
    <n v="1"/>
    <s v="None"/>
    <x v="1"/>
    <s v="Advanced Training"/>
  </r>
  <r>
    <n v="8071"/>
    <x v="3"/>
    <x v="0"/>
    <n v="41"/>
    <x v="2"/>
    <x v="2"/>
    <x v="0"/>
    <x v="3"/>
    <s v="Janet Harris"/>
    <s v="2024-09-03"/>
    <x v="1"/>
    <x v="0"/>
    <n v="62993"/>
    <s v="A"/>
    <n v="2695"/>
    <s v="Health + Dental"/>
    <n v="0"/>
    <n v="2"/>
    <s v="None"/>
    <x v="2"/>
    <s v="None"/>
  </r>
  <r>
    <n v="9351"/>
    <x v="4"/>
    <x v="1"/>
    <n v="56"/>
    <x v="3"/>
    <x v="0"/>
    <x v="0"/>
    <x v="2"/>
    <s v="Mr. Frank Clay"/>
    <s v="2019-03-14"/>
    <x v="1"/>
    <x v="1"/>
    <n v="45773"/>
    <s v="A"/>
    <n v="8776"/>
    <s v="Health"/>
    <n v="16"/>
    <n v="4"/>
    <s v="Leadership Training"/>
    <x v="2"/>
    <s v="None"/>
  </r>
  <r>
    <n v="2873"/>
    <x v="5"/>
    <x v="0"/>
    <n v="28"/>
    <x v="1"/>
    <x v="2"/>
    <x v="3"/>
    <x v="2"/>
    <s v="Dorothy Price"/>
    <s v="2017-01-23"/>
    <x v="0"/>
    <x v="1"/>
    <n v="96249"/>
    <s v="C"/>
    <n v="4826"/>
    <s v="Health + Dental"/>
    <n v="7"/>
    <n v="3"/>
    <s v="Leadership Training"/>
    <x v="3"/>
    <s v="Certified Professional"/>
  </r>
  <r>
    <n v="3540"/>
    <x v="6"/>
    <x v="0"/>
    <n v="20"/>
    <x v="0"/>
    <x v="1"/>
    <x v="2"/>
    <x v="2"/>
    <s v="Michele Sexton"/>
    <s v="2024-08-17"/>
    <x v="0"/>
    <x v="2"/>
    <n v="61596"/>
    <s v="C"/>
    <n v="8818"/>
    <s v="Health + Dental"/>
    <n v="4"/>
    <n v="2"/>
    <s v="Leadership Training"/>
    <x v="1"/>
    <s v="None"/>
  </r>
  <r>
    <n v="3653"/>
    <x v="7"/>
    <x v="0"/>
    <n v="58"/>
    <x v="3"/>
    <x v="3"/>
    <x v="1"/>
    <x v="4"/>
    <s v="Richard Schmidt"/>
    <s v="2014-12-09"/>
    <x v="0"/>
    <x v="2"/>
    <n v="97869"/>
    <s v="A"/>
    <n v="1966"/>
    <s v="Health"/>
    <n v="10"/>
    <n v="1"/>
    <s v="Leadership Training"/>
    <x v="0"/>
    <s v="Certified Professional"/>
  </r>
  <r>
    <n v="5587"/>
    <x v="8"/>
    <x v="0"/>
    <n v="44"/>
    <x v="2"/>
    <x v="3"/>
    <x v="2"/>
    <x v="2"/>
    <s v="Teresa Pearson"/>
    <s v="2021-06-28"/>
    <x v="0"/>
    <x v="0"/>
    <n v="81235"/>
    <s v="A"/>
    <n v="6553"/>
    <s v="None"/>
    <n v="16"/>
    <n v="2"/>
    <s v="None"/>
    <x v="1"/>
    <s v="Certified Professional"/>
  </r>
  <r>
    <n v="9554"/>
    <x v="9"/>
    <x v="0"/>
    <n v="29"/>
    <x v="1"/>
    <x v="1"/>
    <x v="2"/>
    <x v="3"/>
    <s v="Laura Hart"/>
    <s v="2018-05-20"/>
    <x v="0"/>
    <x v="1"/>
    <n v="87852"/>
    <s v="A"/>
    <n v="4980"/>
    <s v="Health + Dental"/>
    <n v="19"/>
    <n v="3"/>
    <s v="None"/>
    <x v="2"/>
    <s v="Certified Professional"/>
  </r>
  <r>
    <n v="6213"/>
    <x v="10"/>
    <x v="1"/>
    <n v="23"/>
    <x v="0"/>
    <x v="3"/>
    <x v="0"/>
    <x v="2"/>
    <s v="Andrea May"/>
    <s v="2017-02-13"/>
    <x v="1"/>
    <x v="1"/>
    <n v="59359"/>
    <s v="A"/>
    <n v="9449"/>
    <s v="Health + Dental"/>
    <n v="20"/>
    <n v="3"/>
    <s v="None"/>
    <x v="1"/>
    <s v="None"/>
  </r>
  <r>
    <n v="9105"/>
    <x v="11"/>
    <x v="1"/>
    <n v="30"/>
    <x v="1"/>
    <x v="0"/>
    <x v="1"/>
    <x v="0"/>
    <s v="Casey Martin"/>
    <s v="2024-05-05"/>
    <x v="1"/>
    <x v="2"/>
    <n v="81225"/>
    <s v="D"/>
    <n v="6202"/>
    <s v="Health + Dental"/>
    <n v="2"/>
    <n v="2"/>
    <s v="Excel Workshop"/>
    <x v="4"/>
    <s v="Certified Professional"/>
  </r>
  <r>
    <n v="9508"/>
    <x v="12"/>
    <x v="0"/>
    <n v="49"/>
    <x v="4"/>
    <x v="1"/>
    <x v="0"/>
    <x v="0"/>
    <s v="Amber Allen"/>
    <s v="2022-04-19"/>
    <x v="1"/>
    <x v="0"/>
    <n v="32788"/>
    <s v="D"/>
    <n v="4396"/>
    <s v="Health"/>
    <n v="13"/>
    <n v="5"/>
    <s v="None"/>
    <x v="3"/>
    <s v="Advanced Training"/>
  </r>
  <r>
    <n v="2436"/>
    <x v="13"/>
    <x v="1"/>
    <n v="60"/>
    <x v="3"/>
    <x v="4"/>
    <x v="0"/>
    <x v="3"/>
    <s v="Adam Johnson"/>
    <s v="2015-11-16"/>
    <x v="1"/>
    <x v="2"/>
    <n v="70452"/>
    <s v="D"/>
    <n v="9911"/>
    <s v="None"/>
    <n v="2"/>
    <n v="1"/>
    <s v="None"/>
    <x v="3"/>
    <s v="Certified Professional"/>
  </r>
  <r>
    <n v="4441"/>
    <x v="14"/>
    <x v="1"/>
    <n v="46"/>
    <x v="4"/>
    <x v="1"/>
    <x v="3"/>
    <x v="0"/>
    <s v="Nicole Dominguez"/>
    <s v="2023-09-09"/>
    <x v="0"/>
    <x v="1"/>
    <n v="33045"/>
    <s v="B"/>
    <n v="1456"/>
    <s v="None"/>
    <n v="16"/>
    <n v="3"/>
    <s v="Excel Workshop"/>
    <x v="3"/>
    <s v="None"/>
  </r>
  <r>
    <n v="5827"/>
    <x v="15"/>
    <x v="1"/>
    <n v="57"/>
    <x v="3"/>
    <x v="2"/>
    <x v="3"/>
    <x v="1"/>
    <s v="Andrew Best"/>
    <s v="2017-12-12"/>
    <x v="2"/>
    <x v="2"/>
    <n v="96429"/>
    <s v="C"/>
    <n v="4740"/>
    <s v="None"/>
    <n v="8"/>
    <n v="1"/>
    <s v="Excel Workshop"/>
    <x v="2"/>
    <s v="None"/>
  </r>
  <r>
    <n v="5184"/>
    <x v="16"/>
    <x v="0"/>
    <n v="24"/>
    <x v="0"/>
    <x v="1"/>
    <x v="2"/>
    <x v="2"/>
    <s v="Gabrielle Rodriguez"/>
    <s v="2017-03-10"/>
    <x v="2"/>
    <x v="2"/>
    <n v="33183"/>
    <s v="A"/>
    <n v="8114"/>
    <s v="None"/>
    <n v="4"/>
    <n v="2"/>
    <s v="Excel Workshop"/>
    <x v="4"/>
    <s v="Advanced Training"/>
  </r>
  <r>
    <n v="5874"/>
    <x v="3"/>
    <x v="0"/>
    <n v="35"/>
    <x v="1"/>
    <x v="4"/>
    <x v="3"/>
    <x v="0"/>
    <s v="Allison Harvey"/>
    <s v="2019-03-04"/>
    <x v="2"/>
    <x v="0"/>
    <n v="75065"/>
    <s v="C"/>
    <n v="7123"/>
    <s v="None"/>
    <n v="20"/>
    <n v="2"/>
    <s v="None"/>
    <x v="0"/>
    <s v="Advanced Training"/>
  </r>
  <r>
    <n v="9834"/>
    <x v="17"/>
    <x v="1"/>
    <n v="41"/>
    <x v="2"/>
    <x v="1"/>
    <x v="1"/>
    <x v="4"/>
    <s v="Tristan Mejia"/>
    <s v="2022-11-20"/>
    <x v="0"/>
    <x v="2"/>
    <n v="32877"/>
    <s v="C"/>
    <n v="6432"/>
    <s v="Health"/>
    <n v="11"/>
    <n v="1"/>
    <s v="None"/>
    <x v="0"/>
    <s v="None"/>
  </r>
  <r>
    <n v="5096"/>
    <x v="18"/>
    <x v="1"/>
    <n v="36"/>
    <x v="2"/>
    <x v="1"/>
    <x v="4"/>
    <x v="3"/>
    <s v="Mary Welch"/>
    <s v="2021-03-02"/>
    <x v="0"/>
    <x v="1"/>
    <n v="46811"/>
    <s v="D"/>
    <n v="1567"/>
    <s v="None"/>
    <n v="7"/>
    <n v="3"/>
    <s v="Excel Workshop"/>
    <x v="0"/>
    <s v="Advanced Training"/>
  </r>
  <r>
    <n v="2263"/>
    <x v="19"/>
    <x v="1"/>
    <n v="31"/>
    <x v="1"/>
    <x v="3"/>
    <x v="2"/>
    <x v="1"/>
    <s v="Douglas Miles"/>
    <s v="2021-08-01"/>
    <x v="1"/>
    <x v="1"/>
    <n v="87538"/>
    <s v="C"/>
    <n v="3588"/>
    <s v="Health + Dental"/>
    <n v="11"/>
    <n v="5"/>
    <s v="Excel Workshop"/>
    <x v="2"/>
    <s v="None"/>
  </r>
  <r>
    <n v="6505"/>
    <x v="20"/>
    <x v="0"/>
    <n v="28"/>
    <x v="1"/>
    <x v="0"/>
    <x v="1"/>
    <x v="4"/>
    <s v="Jessica Fleming"/>
    <s v="2015-08-14"/>
    <x v="0"/>
    <x v="1"/>
    <n v="73002"/>
    <s v="C"/>
    <n v="6296"/>
    <s v="Health"/>
    <n v="2"/>
    <n v="5"/>
    <s v="Excel Workshop"/>
    <x v="1"/>
    <s v="Certified Professional"/>
  </r>
  <r>
    <n v="8626"/>
    <x v="21"/>
    <x v="1"/>
    <n v="37"/>
    <x v="2"/>
    <x v="3"/>
    <x v="1"/>
    <x v="3"/>
    <s v="Christine Lee"/>
    <s v="2015-10-21"/>
    <x v="2"/>
    <x v="2"/>
    <n v="41653"/>
    <s v="D"/>
    <n v="9236"/>
    <s v="None"/>
    <n v="13"/>
    <n v="1"/>
    <s v="Excel Workshop"/>
    <x v="0"/>
    <s v="None"/>
  </r>
  <r>
    <n v="5979"/>
    <x v="22"/>
    <x v="0"/>
    <n v="31"/>
    <x v="1"/>
    <x v="0"/>
    <x v="0"/>
    <x v="2"/>
    <s v="Mario Smith DVM"/>
    <s v="2015-03-14"/>
    <x v="1"/>
    <x v="1"/>
    <n v="67582"/>
    <s v="A"/>
    <n v="1375"/>
    <s v="Health"/>
    <n v="20"/>
    <n v="3"/>
    <s v="Excel Workshop"/>
    <x v="1"/>
    <s v="None"/>
  </r>
  <r>
    <n v="3104"/>
    <x v="23"/>
    <x v="0"/>
    <n v="23"/>
    <x v="0"/>
    <x v="3"/>
    <x v="1"/>
    <x v="1"/>
    <s v="Joseph Francis"/>
    <s v="2024-05-22"/>
    <x v="2"/>
    <x v="1"/>
    <n v="37351"/>
    <s v="D"/>
    <n v="7858"/>
    <s v="Health + Dental"/>
    <n v="18"/>
    <n v="2"/>
    <s v="Leadership Training"/>
    <x v="1"/>
    <s v="Advanced Training"/>
  </r>
  <r>
    <n v="8967"/>
    <x v="24"/>
    <x v="0"/>
    <n v="48"/>
    <x v="4"/>
    <x v="4"/>
    <x v="2"/>
    <x v="0"/>
    <s v="Sarah Young"/>
    <s v="2017-03-19"/>
    <x v="0"/>
    <x v="1"/>
    <n v="36721"/>
    <s v="B"/>
    <n v="8820"/>
    <s v="Health + Dental"/>
    <n v="0"/>
    <n v="2"/>
    <s v="Excel Workshop"/>
    <x v="1"/>
    <s v="Certified Professional"/>
  </r>
  <r>
    <n v="5087"/>
    <x v="25"/>
    <x v="1"/>
    <n v="28"/>
    <x v="1"/>
    <x v="2"/>
    <x v="4"/>
    <x v="0"/>
    <s v="Aaron Hart"/>
    <s v="2021-09-15"/>
    <x v="1"/>
    <x v="2"/>
    <n v="46326"/>
    <s v="B"/>
    <n v="9189"/>
    <s v="Health + Dental"/>
    <n v="8"/>
    <n v="4"/>
    <s v="Leadership Training"/>
    <x v="3"/>
    <s v="Advanced Training"/>
  </r>
  <r>
    <n v="3358"/>
    <x v="26"/>
    <x v="1"/>
    <n v="30"/>
    <x v="1"/>
    <x v="1"/>
    <x v="3"/>
    <x v="1"/>
    <s v="Brian Boyd"/>
    <s v="2022-05-09"/>
    <x v="0"/>
    <x v="0"/>
    <n v="59007"/>
    <s v="C"/>
    <n v="3380"/>
    <s v="Health"/>
    <n v="17"/>
    <n v="3"/>
    <s v="None"/>
    <x v="4"/>
    <s v="Certified Professional"/>
  </r>
  <r>
    <n v="8256"/>
    <x v="27"/>
    <x v="1"/>
    <n v="46"/>
    <x v="4"/>
    <x v="3"/>
    <x v="0"/>
    <x v="3"/>
    <s v="Steven Krueger"/>
    <s v="2017-06-22"/>
    <x v="0"/>
    <x v="1"/>
    <n v="52020"/>
    <s v="B"/>
    <n v="9585"/>
    <s v="Health + Dental"/>
    <n v="0"/>
    <n v="4"/>
    <s v="Excel Workshop"/>
    <x v="4"/>
    <s v="None"/>
  </r>
  <r>
    <n v="5763"/>
    <x v="28"/>
    <x v="1"/>
    <n v="44"/>
    <x v="2"/>
    <x v="1"/>
    <x v="2"/>
    <x v="1"/>
    <s v="Debra Williams"/>
    <s v="2020-11-28"/>
    <x v="2"/>
    <x v="1"/>
    <n v="98961"/>
    <s v="D"/>
    <n v="2688"/>
    <s v="Health"/>
    <n v="2"/>
    <n v="5"/>
    <s v="Excel Workshop"/>
    <x v="4"/>
    <s v="Certified Professional"/>
  </r>
  <r>
    <n v="6838"/>
    <x v="29"/>
    <x v="1"/>
    <n v="45"/>
    <x v="2"/>
    <x v="2"/>
    <x v="3"/>
    <x v="2"/>
    <s v="Karen Mitchell"/>
    <s v="2015-08-30"/>
    <x v="2"/>
    <x v="1"/>
    <n v="81943"/>
    <s v="C"/>
    <n v="2255"/>
    <s v="Health"/>
    <n v="18"/>
    <n v="2"/>
    <s v="None"/>
    <x v="2"/>
    <s v="Certified Professional"/>
  </r>
  <r>
    <n v="9544"/>
    <x v="30"/>
    <x v="1"/>
    <n v="52"/>
    <x v="4"/>
    <x v="4"/>
    <x v="2"/>
    <x v="1"/>
    <s v="Joseph Sanders"/>
    <s v="2018-10-27"/>
    <x v="2"/>
    <x v="1"/>
    <n v="47627"/>
    <s v="C"/>
    <n v="1221"/>
    <s v="None"/>
    <n v="4"/>
    <n v="3"/>
    <s v="None"/>
    <x v="1"/>
    <s v="None"/>
  </r>
  <r>
    <n v="8012"/>
    <x v="31"/>
    <x v="0"/>
    <n v="52"/>
    <x v="4"/>
    <x v="0"/>
    <x v="0"/>
    <x v="4"/>
    <s v="Shelly George"/>
    <s v="2018-08-26"/>
    <x v="2"/>
    <x v="1"/>
    <n v="56162"/>
    <s v="D"/>
    <n v="6560"/>
    <s v="Health + Dental"/>
    <n v="9"/>
    <n v="4"/>
    <s v="Excel Workshop"/>
    <x v="3"/>
    <s v="None"/>
  </r>
  <r>
    <n v="9374"/>
    <x v="32"/>
    <x v="0"/>
    <n v="42"/>
    <x v="2"/>
    <x v="1"/>
    <x v="2"/>
    <x v="2"/>
    <s v="Nicole Houston"/>
    <s v="2023-07-24"/>
    <x v="1"/>
    <x v="2"/>
    <n v="95734"/>
    <s v="C"/>
    <n v="4854"/>
    <s v="Health"/>
    <n v="13"/>
    <n v="2"/>
    <s v="Leadership Training"/>
    <x v="0"/>
    <s v="Certified Professional"/>
  </r>
  <r>
    <n v="3487"/>
    <x v="33"/>
    <x v="1"/>
    <n v="58"/>
    <x v="3"/>
    <x v="1"/>
    <x v="1"/>
    <x v="3"/>
    <s v="Kristin Shaffer"/>
    <s v="2018-07-09"/>
    <x v="1"/>
    <x v="2"/>
    <n v="74789"/>
    <s v="C"/>
    <n v="8101"/>
    <s v="Health + Dental"/>
    <n v="14"/>
    <n v="5"/>
    <s v="Excel Workshop"/>
    <x v="2"/>
    <s v="None"/>
  </r>
  <r>
    <n v="8445"/>
    <x v="34"/>
    <x v="0"/>
    <n v="24"/>
    <x v="0"/>
    <x v="4"/>
    <x v="0"/>
    <x v="3"/>
    <s v="Joel Aguilar"/>
    <s v="2016-12-21"/>
    <x v="0"/>
    <x v="2"/>
    <n v="30137"/>
    <s v="B"/>
    <n v="4031"/>
    <s v="None"/>
    <n v="5"/>
    <n v="3"/>
    <s v="None"/>
    <x v="1"/>
    <s v="Certified Professional"/>
  </r>
  <r>
    <n v="1550"/>
    <x v="35"/>
    <x v="1"/>
    <n v="21"/>
    <x v="0"/>
    <x v="1"/>
    <x v="0"/>
    <x v="0"/>
    <s v="Michael Wade"/>
    <s v="2019-06-27"/>
    <x v="0"/>
    <x v="2"/>
    <n v="95510"/>
    <s v="C"/>
    <n v="6811"/>
    <s v="Health"/>
    <n v="18"/>
    <n v="4"/>
    <s v="Excel Workshop"/>
    <x v="4"/>
    <s v="Certified Professional"/>
  </r>
  <r>
    <n v="9968"/>
    <x v="36"/>
    <x v="1"/>
    <n v="58"/>
    <x v="3"/>
    <x v="1"/>
    <x v="3"/>
    <x v="0"/>
    <s v="Jessica Walsh"/>
    <s v="2021-08-27"/>
    <x v="1"/>
    <x v="0"/>
    <n v="80325"/>
    <s v="B"/>
    <n v="6230"/>
    <s v="Health"/>
    <n v="5"/>
    <n v="4"/>
    <s v="None"/>
    <x v="2"/>
    <s v="Advanced Training"/>
  </r>
  <r>
    <n v="8029"/>
    <x v="37"/>
    <x v="0"/>
    <n v="57"/>
    <x v="3"/>
    <x v="3"/>
    <x v="4"/>
    <x v="4"/>
    <s v="Kelly Mack"/>
    <s v="2017-05-28"/>
    <x v="2"/>
    <x v="1"/>
    <n v="34109"/>
    <s v="B"/>
    <n v="9232"/>
    <s v="Health"/>
    <n v="13"/>
    <n v="3"/>
    <s v="Leadership Training"/>
    <x v="0"/>
    <s v="Certified Professional"/>
  </r>
  <r>
    <n v="8847"/>
    <x v="38"/>
    <x v="1"/>
    <n v="41"/>
    <x v="2"/>
    <x v="3"/>
    <x v="3"/>
    <x v="0"/>
    <s v="John Conley"/>
    <s v="2022-01-30"/>
    <x v="2"/>
    <x v="2"/>
    <n v="73330"/>
    <s v="C"/>
    <n v="2276"/>
    <s v="Health + Dental"/>
    <n v="5"/>
    <n v="1"/>
    <s v="None"/>
    <x v="1"/>
    <s v="Advanced Training"/>
  </r>
  <r>
    <n v="1955"/>
    <x v="39"/>
    <x v="0"/>
    <n v="58"/>
    <x v="3"/>
    <x v="2"/>
    <x v="2"/>
    <x v="1"/>
    <s v="Aaron Baker"/>
    <s v="2017-04-20"/>
    <x v="1"/>
    <x v="2"/>
    <n v="46567"/>
    <s v="A"/>
    <n v="2825"/>
    <s v="Health"/>
    <n v="15"/>
    <n v="3"/>
    <s v="None"/>
    <x v="4"/>
    <s v="Advanced Training"/>
  </r>
  <r>
    <n v="4522"/>
    <x v="40"/>
    <x v="0"/>
    <n v="36"/>
    <x v="2"/>
    <x v="0"/>
    <x v="4"/>
    <x v="0"/>
    <s v="Christopher Bass"/>
    <s v="2019-07-22"/>
    <x v="1"/>
    <x v="1"/>
    <n v="39795"/>
    <s v="A"/>
    <n v="1670"/>
    <s v="None"/>
    <n v="0"/>
    <n v="2"/>
    <s v="Excel Workshop"/>
    <x v="3"/>
    <s v="None"/>
  </r>
  <r>
    <n v="3078"/>
    <x v="41"/>
    <x v="0"/>
    <n v="21"/>
    <x v="0"/>
    <x v="0"/>
    <x v="0"/>
    <x v="4"/>
    <s v="Sean Tucker PhD"/>
    <s v="2018-11-29"/>
    <x v="1"/>
    <x v="2"/>
    <n v="59506"/>
    <s v="A"/>
    <n v="4428"/>
    <s v="Health + Dental"/>
    <n v="0"/>
    <n v="1"/>
    <s v="None"/>
    <x v="3"/>
    <s v="Certified Professional"/>
  </r>
  <r>
    <n v="6357"/>
    <x v="42"/>
    <x v="0"/>
    <n v="46"/>
    <x v="4"/>
    <x v="2"/>
    <x v="1"/>
    <x v="4"/>
    <s v="Jacob Scott"/>
    <s v="2022-11-14"/>
    <x v="1"/>
    <x v="2"/>
    <n v="49058"/>
    <s v="B"/>
    <n v="4396"/>
    <s v="None"/>
    <n v="5"/>
    <n v="1"/>
    <s v="None"/>
    <x v="3"/>
    <s v="None"/>
  </r>
  <r>
    <n v="7951"/>
    <x v="43"/>
    <x v="0"/>
    <n v="36"/>
    <x v="2"/>
    <x v="3"/>
    <x v="2"/>
    <x v="4"/>
    <s v="Joel Park"/>
    <s v="2016-02-23"/>
    <x v="1"/>
    <x v="0"/>
    <n v="98612"/>
    <s v="A"/>
    <n v="1168"/>
    <s v="None"/>
    <n v="9"/>
    <n v="2"/>
    <s v="Excel Workshop"/>
    <x v="0"/>
    <s v="Certified Professional"/>
  </r>
  <r>
    <n v="9228"/>
    <x v="44"/>
    <x v="1"/>
    <n v="41"/>
    <x v="2"/>
    <x v="4"/>
    <x v="3"/>
    <x v="1"/>
    <s v="Russell Marshall"/>
    <s v="2018-05-18"/>
    <x v="2"/>
    <x v="1"/>
    <n v="38201"/>
    <s v="A"/>
    <n v="7111"/>
    <s v="Health"/>
    <n v="8"/>
    <n v="4"/>
    <s v="Leadership Training"/>
    <x v="3"/>
    <s v="None"/>
  </r>
  <r>
    <n v="8988"/>
    <x v="45"/>
    <x v="1"/>
    <n v="25"/>
    <x v="0"/>
    <x v="0"/>
    <x v="2"/>
    <x v="2"/>
    <s v="James Holden"/>
    <s v="2024-03-09"/>
    <x v="2"/>
    <x v="1"/>
    <n v="92919"/>
    <s v="D"/>
    <n v="9497"/>
    <s v="Health"/>
    <n v="7"/>
    <n v="2"/>
    <s v="None"/>
    <x v="3"/>
    <s v="Advanced Training"/>
  </r>
  <r>
    <n v="1952"/>
    <x v="46"/>
    <x v="0"/>
    <n v="29"/>
    <x v="1"/>
    <x v="4"/>
    <x v="0"/>
    <x v="1"/>
    <s v="Thomas Murphy"/>
    <s v="2024-03-27"/>
    <x v="0"/>
    <x v="2"/>
    <n v="45188"/>
    <s v="A"/>
    <n v="9591"/>
    <s v="Health + Dental"/>
    <n v="18"/>
    <n v="3"/>
    <s v="Leadership Training"/>
    <x v="3"/>
    <s v="None"/>
  </r>
  <r>
    <n v="5760"/>
    <x v="47"/>
    <x v="0"/>
    <n v="59"/>
    <x v="3"/>
    <x v="2"/>
    <x v="1"/>
    <x v="0"/>
    <s v="Mark Abbott"/>
    <s v="2019-12-23"/>
    <x v="0"/>
    <x v="1"/>
    <n v="34927"/>
    <s v="D"/>
    <n v="6996"/>
    <s v="Health + Dental"/>
    <n v="16"/>
    <n v="1"/>
    <s v="Excel Workshop"/>
    <x v="0"/>
    <s v="Certified Professional"/>
  </r>
  <r>
    <n v="5742"/>
    <x v="48"/>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AAB517-E073-4663-ACE7-067F17E883C2}" name="employment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formats count="6">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48C87A-A56C-4F8D-B54D-9AACBDE5115B}" name="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10"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6">
    <format dxfId="11">
      <pivotArea type="all" dataOnly="0" outline="0" fieldPosition="0"/>
    </format>
    <format dxfId="10">
      <pivotArea outline="0" collapsedLevelsAreSubtotals="1" fieldPosition="0"/>
    </format>
    <format dxfId="9">
      <pivotArea field="19" type="button" dataOnly="0" labelOnly="1" outline="0" axis="axisRow" fieldPosition="0"/>
    </format>
    <format dxfId="8">
      <pivotArea dataOnly="0" labelOnly="1" fieldPosition="0">
        <references count="1">
          <reference field="19"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15B47D-E3EE-40FB-909C-34211745C6AE}" name="work pl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8"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6">
    <format dxfId="17">
      <pivotArea type="all" dataOnly="0" outline="0" fieldPosition="0"/>
    </format>
    <format dxfId="16">
      <pivotArea outline="0" collapsedLevelsAreSubtotals="1" fieldPosition="0"/>
    </format>
    <format dxfId="15">
      <pivotArea field="11" type="button" dataOnly="0" labelOnly="1" outline="0" axis="axisRow" fieldPosition="0"/>
    </format>
    <format dxfId="14">
      <pivotArea dataOnly="0" labelOnly="1" fieldPosition="0">
        <references count="1">
          <reference field="11"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79F6B-6584-40B4-B27C-F94880E3CDED}" name="Age ran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L10" firstHeaderRow="1" firstDataRow="2"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h="1" x="0"/>
        <item h="1" x="1"/>
        <item x="4"/>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4">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 chart="6" format="6">
      <pivotArea type="data" outline="0" fieldPosition="0">
        <references count="3">
          <reference field="4294967294" count="1" selected="0">
            <x v="0"/>
          </reference>
          <reference field="2" count="1" selected="0">
            <x v="0"/>
          </reference>
          <reference field="4" count="1" selected="0">
            <x v="0"/>
          </reference>
        </references>
      </pivotArea>
    </chartFormat>
    <chartFormat chart="6" format="7">
      <pivotArea type="data" outline="0" fieldPosition="0">
        <references count="3">
          <reference field="4294967294" count="1" selected="0">
            <x v="0"/>
          </reference>
          <reference field="2"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B2F9A4-1E6F-496A-B6E2-AEF897AAA9F7}"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9" firstHeaderRow="0" firstDataRow="1" firstDataCol="1"/>
  <pivotFields count="21">
    <pivotField showAll="0"/>
    <pivotField showAll="0"/>
    <pivotField showAll="0"/>
    <pivotField showAll="0"/>
    <pivotField showAll="0"/>
    <pivotField showAll="0"/>
    <pivotField axis="axisRow" showAll="0">
      <items count="6">
        <item x="4"/>
        <item x="1"/>
        <item x="3"/>
        <item x="2"/>
        <item x="0"/>
        <item t="default"/>
      </items>
    </pivotField>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7">
    <format dxfId="24">
      <pivotArea type="all" dataOnly="0" outline="0" fieldPosition="0"/>
    </format>
    <format dxfId="23">
      <pivotArea outline="0" collapsedLevelsAreSubtotals="1" fieldPosition="0"/>
    </format>
    <format dxfId="22">
      <pivotArea field="6" type="button" dataOnly="0" labelOnly="1" outline="0" axis="axisRow" fieldPosition="0"/>
    </format>
    <format dxfId="21">
      <pivotArea dataOnly="0" labelOnly="1" fieldPosition="0">
        <references count="1">
          <reference field="6" count="0"/>
        </references>
      </pivotArea>
    </format>
    <format dxfId="20">
      <pivotArea dataOnly="0" labelOnly="1" grandRow="1" outline="0" fieldPosition="0"/>
    </format>
    <format dxfId="19">
      <pivotArea dataOnly="0" labelOnly="1" outline="0" axis="axisValues" fieldPosition="0"/>
    </format>
    <format dxfId="18">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0246D9-F46C-4B16-A51A-9B9D9433834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Z10" firstHeaderRow="1" firstDataRow="1" firstDataCol="1"/>
  <pivotFields count="21">
    <pivotField showAll="0"/>
    <pivotField showAll="0"/>
    <pivotField showAll="0"/>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7">
    <format dxfId="31">
      <pivotArea collapsedLevelsAreSubtotals="1" fieldPosition="0">
        <references count="1">
          <reference field="7" count="0"/>
        </references>
      </pivotArea>
    </format>
    <format dxfId="30">
      <pivotArea type="all" dataOnly="0" outline="0" fieldPosition="0"/>
    </format>
    <format dxfId="29">
      <pivotArea outline="0" collapsedLevelsAreSubtotals="1" fieldPosition="0"/>
    </format>
    <format dxfId="28">
      <pivotArea field="7" type="button" dataOnly="0" labelOnly="1" outline="0" axis="axisRow" fieldPosition="0"/>
    </format>
    <format dxfId="27">
      <pivotArea dataOnly="0" labelOnly="1" fieldPosition="0">
        <references count="1">
          <reference field="7" count="0"/>
        </references>
      </pivotArea>
    </format>
    <format dxfId="26">
      <pivotArea dataOnly="0" labelOnly="1" grandRow="1" outline="0"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C8C67F-33FA-415F-9921-9AD64BE955BF}" name="reg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4:W10" firstHeaderRow="1" firstDataRow="1" firstDataCol="1"/>
  <pivotFields count="21">
    <pivotField showAll="0"/>
    <pivotField dataField="1" showAll="0"/>
    <pivotField showAll="0"/>
    <pivotField showAll="0"/>
    <pivotField showAll="0"/>
    <pivotField axis="axisRow"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6">
    <format dxfId="37">
      <pivotArea type="all" dataOnly="0" outline="0" fieldPosition="0"/>
    </format>
    <format dxfId="36">
      <pivotArea outline="0" collapsedLevelsAreSubtotals="1" fieldPosition="0"/>
    </format>
    <format dxfId="35">
      <pivotArea field="5" type="button" dataOnly="0" labelOnly="1" outline="0" axis="axisRow" fieldPosition="0"/>
    </format>
    <format dxfId="34">
      <pivotArea dataOnly="0" labelOnly="1" fieldPosition="0">
        <references count="1">
          <reference field="5" count="0"/>
        </references>
      </pivotArea>
    </format>
    <format dxfId="33">
      <pivotArea dataOnly="0" labelOnly="1" grandRow="1" outline="0" fieldPosition="0"/>
    </format>
    <format dxfId="3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A8C7EF-95C3-48A9-9087-C6DC8946956E}" sourceName="Gender">
  <pivotTables>
    <pivotTable tabId="3" name="Age range"/>
  </pivotTables>
  <data>
    <tabular pivotCacheId="13896208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449A905-CB47-4BEE-AE1F-219F12AF423B}" sourceName="Department">
  <pivotTables>
    <pivotTable tabId="3" name="Age range"/>
  </pivotTables>
  <data>
    <tabular pivotCacheId="1389620892">
      <items count="5">
        <i x="0"/>
        <i x="1"/>
        <i x="4"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33719DE-DC41-4F3A-AA82-9CBCAC10E66C}" cache="Slicer_Gender" caption="Gender" columnCount="2" style="SlicerStyleDark6" rowHeight="251883"/>
  <slicer name="Department" xr10:uid="{BE5E4586-D2BB-45FB-8F76-6733D6423B0F}" cache="Slicer_Department" caption="Department" columnCount="3" style="SlicerStyleDark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60" dataDxfId="59">
  <autoFilter ref="A1:U51" xr:uid="{BD7F130C-4931-4EC9-8AE2-A64F6556D3A3}"/>
  <tableColumns count="21">
    <tableColumn id="1" xr3:uid="{6BDBB43D-1DF4-4FF3-9C56-0E3D699A83FC}" name="Employee ID" dataDxfId="58"/>
    <tableColumn id="2" xr3:uid="{363D91B7-21AD-4B4B-86DE-95D24769EAA5}" name="Full Name" dataDxfId="57"/>
    <tableColumn id="3" xr3:uid="{728245EC-9766-45F5-9851-7FEFEFBE2652}" name="Gender" dataDxfId="56"/>
    <tableColumn id="4" xr3:uid="{DD8A90D1-163F-4B0E-A039-9E7A16AFC106}" name="Age" dataDxfId="55"/>
    <tableColumn id="5" xr3:uid="{0672993B-A00D-49AE-84B7-674089468A17}" name="Age range" dataDxfId="54"/>
    <tableColumn id="6" xr3:uid="{B1ADEE80-60F1-4EE3-B3FB-8484EE6C17B3}" name="Region" dataDxfId="53"/>
    <tableColumn id="7" xr3:uid="{8E0A56EE-3456-4513-ADA0-27F6CAA8C17B}" name="Job Title" dataDxfId="52"/>
    <tableColumn id="8" xr3:uid="{0D9D5DB9-01CB-4300-B0CD-256901621ADC}" name="Department" dataDxfId="51"/>
    <tableColumn id="9" xr3:uid="{9EBDAC3F-6A39-4A78-B562-848691EE3AD1}" name="Manager/Supervisor" dataDxfId="50"/>
    <tableColumn id="10" xr3:uid="{AF849F24-150A-4123-B3F8-A46B4D4F7BC6}" name="Date of Hire" dataDxfId="49"/>
    <tableColumn id="11" xr3:uid="{8C57202E-334A-462A-9C44-E5E2468122E4}" name="Employment Status" dataDxfId="48"/>
    <tableColumn id="12" xr3:uid="{8A07812C-245C-4D55-A210-3AE7E0BB84EB}" name="Work Location" dataDxfId="47"/>
    <tableColumn id="13" xr3:uid="{6441036C-01DD-4130-8E4B-DBA441BCB744}" name="Salary" dataDxfId="46"/>
    <tableColumn id="14" xr3:uid="{ADCF531A-A98E-422C-939D-04D58C2423FB}" name="Pay Grade" dataDxfId="45"/>
    <tableColumn id="15" xr3:uid="{DE922695-AE31-4F31-8F89-61E6E7E646AB}" name="Bonus/Allowances" dataDxfId="44"/>
    <tableColumn id="16" xr3:uid="{62F2B816-9954-4A01-AEDC-4C13B3A2A52F}" name="Insurance Details" dataDxfId="43"/>
    <tableColumn id="17" xr3:uid="{6EFEC335-9B75-45D5-B403-A8A9E557BE24}" name="Leave Taken" dataDxfId="42"/>
    <tableColumn id="18" xr3:uid="{9DA1B78E-154E-42E4-A1BC-FE1CF363DCBA}" name="Performance Rating" dataDxfId="41"/>
    <tableColumn id="19" xr3:uid="{7E4B5E79-5639-4E3A-91A1-D1D8767BB705}" name="Training Programs Attended" dataDxfId="40"/>
    <tableColumn id="20" xr3:uid="{2E731344-8C6D-4001-9E36-F16B80500F61}" name="Skills" dataDxfId="39"/>
    <tableColumn id="21" xr3:uid="{9DCE550B-F788-4423-B330-CAB70C041DFC}" name="Certifications" dataDxfId="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8CF886-1239-429D-8F89-69EC3E4917F8}" name="Table2" displayName="Table2" ref="A3:U29" totalsRowShown="0">
  <autoFilter ref="A3:U29" xr:uid="{A88CF886-1239-429D-8F89-69EC3E4917F8}"/>
  <tableColumns count="21">
    <tableColumn id="1" xr3:uid="{6E14F154-CB9C-43C0-8640-473A5EB5E758}" name="Employee ID"/>
    <tableColumn id="2" xr3:uid="{47CBBEA1-BBB7-48BD-BF06-07EC5D9A2D85}" name="Full Name"/>
    <tableColumn id="3" xr3:uid="{8591B630-BA97-4706-8852-AC8FBFBFD3AA}" name="Gender"/>
    <tableColumn id="4" xr3:uid="{E7DE1D9F-7793-4B86-B636-51ED1FE9E218}" name="Age"/>
    <tableColumn id="5" xr3:uid="{B19635F0-5E82-47C2-9509-E2A007B5B82E}" name="Age range"/>
    <tableColumn id="6" xr3:uid="{A41F8AD7-175E-4D50-A4E1-9908B3F6F7B9}" name="Region"/>
    <tableColumn id="7" xr3:uid="{022FA0B0-2CC2-454F-997E-124194CA2126}" name="Job Title"/>
    <tableColumn id="8" xr3:uid="{D2F3CE77-3217-4CCE-B7B5-5ECF6A6FBD88}" name="Department"/>
    <tableColumn id="9" xr3:uid="{883B4A66-4220-4E0E-8AB2-72E625D4843B}" name="Manager/Supervisor"/>
    <tableColumn id="10" xr3:uid="{10D4B1C2-8C8B-4738-95FF-2D2A44F390E7}" name="Date of Hire"/>
    <tableColumn id="11" xr3:uid="{6DF166C0-1D52-4A65-8B6A-5DB9E53E07C9}" name="Employment Status"/>
    <tableColumn id="12" xr3:uid="{844E1F35-8D19-48ED-AC6D-4A923A96A984}" name="Work Location"/>
    <tableColumn id="13" xr3:uid="{8CE9ADC0-ABC2-4830-9BCD-962A8F4BA9B6}" name="Salary"/>
    <tableColumn id="14" xr3:uid="{A2B59DA5-BACD-41D7-9243-A10DF9CEDAB2}" name="Pay Grade"/>
    <tableColumn id="15" xr3:uid="{B4CBBDC3-2439-4A34-A145-424ADB27B529}" name="Bonus/Allowances"/>
    <tableColumn id="16" xr3:uid="{B53973F3-F6D4-44F7-B14D-466B54DC951C}" name="Insurance Details"/>
    <tableColumn id="17" xr3:uid="{82B0B11F-57A1-44A0-9ED5-8983F195FED1}" name="Leave Taken"/>
    <tableColumn id="18" xr3:uid="{B5877E3B-B142-4DA6-97DB-5B2ECD5A0D0C}" name="Performance Rating"/>
    <tableColumn id="19" xr3:uid="{28E7B94D-EF96-45A8-9F7F-655E4CDF8558}" name="Training Programs Attended"/>
    <tableColumn id="20" xr3:uid="{5BCDB8DF-03AD-48CE-A5C8-576B8C8F791A}" name="Skills"/>
    <tableColumn id="21" xr3:uid="{82E8E757-50FC-405B-A7BE-857A069D38D4}" name="Certifica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B1" workbookViewId="0">
      <selection activeCell="E8" sqref="E8"/>
    </sheetView>
  </sheetViews>
  <sheetFormatPr defaultColWidth="9.1796875" defaultRowHeight="14"/>
  <cols>
    <col min="1" max="1" width="17.7265625" style="2" bestFit="1" customWidth="1"/>
    <col min="2" max="2" width="18.1796875" style="2" bestFit="1" customWidth="1"/>
    <col min="3" max="3" width="12.81640625" style="2" bestFit="1" customWidth="1"/>
    <col min="4" max="4" width="9.54296875" style="2" bestFit="1" customWidth="1"/>
    <col min="5" max="5" width="15.81640625" style="2" bestFit="1" customWidth="1"/>
    <col min="6" max="6" width="12.26953125" style="2" bestFit="1" customWidth="1"/>
    <col min="7" max="7" width="14.1796875" style="2" bestFit="1" customWidth="1"/>
    <col min="8" max="8" width="17.453125" style="2" bestFit="1" customWidth="1"/>
    <col min="9" max="9" width="25.7265625" style="2" bestFit="1" customWidth="1"/>
    <col min="10" max="10" width="18" style="2" bestFit="1" customWidth="1"/>
    <col min="11" max="11" width="25" style="2" bestFit="1" customWidth="1"/>
    <col min="12" max="12" width="20.26953125" style="2" bestFit="1" customWidth="1"/>
    <col min="13" max="13" width="11.81640625" style="2" bestFit="1" customWidth="1"/>
    <col min="14" max="14" width="16.1796875" style="2" bestFit="1" customWidth="1"/>
    <col min="15" max="15" width="24" style="2" bestFit="1" customWidth="1"/>
    <col min="16" max="16" width="22.7265625" style="2" bestFit="1" customWidth="1"/>
    <col min="17" max="17" width="18.1796875" style="2" bestFit="1" customWidth="1"/>
    <col min="18" max="18" width="25.453125" style="2" bestFit="1" customWidth="1"/>
    <col min="19" max="19" width="34" style="2" bestFit="1" customWidth="1"/>
    <col min="20" max="20" width="16" style="2" bestFit="1" customWidth="1"/>
    <col min="21" max="21" width="21.1796875" style="2" bestFit="1" customWidth="1"/>
    <col min="22" max="16384" width="9.17968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4"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6"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5"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ED15D-411A-4453-8986-62CFFE85265E}">
  <dimension ref="V12"/>
  <sheetViews>
    <sheetView showGridLines="0" tabSelected="1" zoomScale="70" zoomScaleNormal="70" workbookViewId="0">
      <selection activeCell="U17" sqref="U17"/>
    </sheetView>
  </sheetViews>
  <sheetFormatPr defaultRowHeight="14.5"/>
  <cols>
    <col min="1" max="16384" width="8.7265625" style="7"/>
  </cols>
  <sheetData>
    <row r="12" spans="22:22">
      <c r="V12"/>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6869B-9DA8-4EC0-B878-4793A577D47D}">
  <dimension ref="A1:U29"/>
  <sheetViews>
    <sheetView workbookViewId="0">
      <selection activeCell="A3" sqref="A3:U29"/>
    </sheetView>
  </sheetViews>
  <sheetFormatPr defaultRowHeight="14.5"/>
  <cols>
    <col min="1" max="1" width="13.453125" bestFit="1" customWidth="1"/>
    <col min="2" max="2" width="15.36328125" bestFit="1" customWidth="1"/>
    <col min="3" max="3" width="9.1796875" bestFit="1" customWidth="1"/>
    <col min="4" max="4" width="8.81640625" bestFit="1" customWidth="1"/>
    <col min="5" max="5" width="11.08984375" bestFit="1" customWidth="1"/>
    <col min="6" max="6" width="8.81640625" bestFit="1" customWidth="1"/>
    <col min="7" max="7" width="11.453125" bestFit="1" customWidth="1"/>
    <col min="8" max="8" width="13.08984375" bestFit="1" customWidth="1"/>
    <col min="9" max="9" width="20" bestFit="1" customWidth="1"/>
    <col min="10" max="10" width="12.81640625" bestFit="1" customWidth="1"/>
    <col min="11" max="11" width="19.54296875" bestFit="1" customWidth="1"/>
    <col min="12" max="12" width="14.90625" bestFit="1" customWidth="1"/>
    <col min="13" max="13" width="8.81640625" bestFit="1" customWidth="1"/>
    <col min="14" max="14" width="11.453125" bestFit="1" customWidth="1"/>
    <col min="15" max="15" width="18.6328125" bestFit="1" customWidth="1"/>
    <col min="16" max="16" width="17.81640625" bestFit="1" customWidth="1"/>
    <col min="17" max="17" width="13.26953125" bestFit="1" customWidth="1"/>
    <col min="18" max="18" width="19.7265625" bestFit="1" customWidth="1"/>
    <col min="19" max="19" width="26.26953125" bestFit="1" customWidth="1"/>
    <col min="20" max="20" width="13.81640625" bestFit="1" customWidth="1"/>
    <col min="21" max="21" width="18.36328125" bestFit="1" customWidth="1"/>
  </cols>
  <sheetData>
    <row r="1" spans="1:21">
      <c r="A1" s="10" t="s">
        <v>223</v>
      </c>
    </row>
    <row r="3" spans="1:21">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c r="A4">
        <v>4294</v>
      </c>
      <c r="B4" t="s">
        <v>21</v>
      </c>
      <c r="C4" t="s">
        <v>22</v>
      </c>
      <c r="D4">
        <v>25</v>
      </c>
      <c r="E4" t="s">
        <v>23</v>
      </c>
      <c r="F4" t="s">
        <v>24</v>
      </c>
      <c r="G4" t="s">
        <v>25</v>
      </c>
      <c r="H4" t="s">
        <v>26</v>
      </c>
      <c r="I4" t="s">
        <v>27</v>
      </c>
      <c r="J4" t="s">
        <v>28</v>
      </c>
      <c r="K4" t="s">
        <v>29</v>
      </c>
      <c r="L4" t="s">
        <v>30</v>
      </c>
      <c r="M4">
        <v>53700</v>
      </c>
      <c r="N4" t="s">
        <v>31</v>
      </c>
      <c r="O4">
        <v>1463</v>
      </c>
      <c r="P4" t="s">
        <v>32</v>
      </c>
      <c r="Q4">
        <v>1</v>
      </c>
      <c r="R4">
        <v>1</v>
      </c>
      <c r="S4" t="s">
        <v>33</v>
      </c>
      <c r="T4" t="s">
        <v>34</v>
      </c>
      <c r="U4" t="s">
        <v>35</v>
      </c>
    </row>
    <row r="5" spans="1:21">
      <c r="A5">
        <v>3540</v>
      </c>
      <c r="B5" t="s">
        <v>76</v>
      </c>
      <c r="C5" t="s">
        <v>22</v>
      </c>
      <c r="D5">
        <v>20</v>
      </c>
      <c r="E5" t="s">
        <v>23</v>
      </c>
      <c r="F5" t="s">
        <v>39</v>
      </c>
      <c r="G5" t="s">
        <v>50</v>
      </c>
      <c r="H5" t="s">
        <v>51</v>
      </c>
      <c r="I5" t="s">
        <v>77</v>
      </c>
      <c r="J5" t="s">
        <v>78</v>
      </c>
      <c r="K5" t="s">
        <v>29</v>
      </c>
      <c r="L5" t="s">
        <v>54</v>
      </c>
      <c r="M5">
        <v>61596</v>
      </c>
      <c r="N5" t="s">
        <v>31</v>
      </c>
      <c r="O5">
        <v>8818</v>
      </c>
      <c r="P5" t="s">
        <v>65</v>
      </c>
      <c r="Q5">
        <v>4</v>
      </c>
      <c r="R5">
        <v>2</v>
      </c>
      <c r="S5" t="s">
        <v>33</v>
      </c>
      <c r="T5" t="s">
        <v>56</v>
      </c>
      <c r="U5" t="s">
        <v>46</v>
      </c>
    </row>
    <row r="6" spans="1:21">
      <c r="A6">
        <v>3078</v>
      </c>
      <c r="B6" t="s">
        <v>190</v>
      </c>
      <c r="C6" t="s">
        <v>22</v>
      </c>
      <c r="D6">
        <v>21</v>
      </c>
      <c r="E6" t="s">
        <v>23</v>
      </c>
      <c r="F6" t="s">
        <v>24</v>
      </c>
      <c r="G6" t="s">
        <v>25</v>
      </c>
      <c r="H6" t="s">
        <v>81</v>
      </c>
      <c r="I6" t="s">
        <v>191</v>
      </c>
      <c r="J6" t="s">
        <v>192</v>
      </c>
      <c r="K6" t="s">
        <v>63</v>
      </c>
      <c r="L6" t="s">
        <v>54</v>
      </c>
      <c r="M6">
        <v>59506</v>
      </c>
      <c r="N6" t="s">
        <v>64</v>
      </c>
      <c r="O6">
        <v>4428</v>
      </c>
      <c r="P6" t="s">
        <v>65</v>
      </c>
      <c r="Q6">
        <v>0</v>
      </c>
      <c r="R6">
        <v>1</v>
      </c>
      <c r="S6" t="s">
        <v>46</v>
      </c>
      <c r="T6" t="s">
        <v>75</v>
      </c>
      <c r="U6" t="s">
        <v>35</v>
      </c>
    </row>
    <row r="7" spans="1:21">
      <c r="A7">
        <v>5184</v>
      </c>
      <c r="B7" t="s">
        <v>112</v>
      </c>
      <c r="C7" t="s">
        <v>22</v>
      </c>
      <c r="D7">
        <v>24</v>
      </c>
      <c r="E7" t="s">
        <v>23</v>
      </c>
      <c r="F7" t="s">
        <v>39</v>
      </c>
      <c r="G7" t="s">
        <v>50</v>
      </c>
      <c r="H7" t="s">
        <v>51</v>
      </c>
      <c r="I7" t="s">
        <v>113</v>
      </c>
      <c r="J7" t="s">
        <v>114</v>
      </c>
      <c r="K7" t="s">
        <v>111</v>
      </c>
      <c r="L7" t="s">
        <v>54</v>
      </c>
      <c r="M7">
        <v>33183</v>
      </c>
      <c r="N7" t="s">
        <v>64</v>
      </c>
      <c r="O7">
        <v>8114</v>
      </c>
      <c r="P7" t="s">
        <v>46</v>
      </c>
      <c r="Q7">
        <v>4</v>
      </c>
      <c r="R7">
        <v>2</v>
      </c>
      <c r="S7" t="s">
        <v>47</v>
      </c>
      <c r="T7" t="s">
        <v>96</v>
      </c>
      <c r="U7" t="s">
        <v>57</v>
      </c>
    </row>
    <row r="8" spans="1:21">
      <c r="A8">
        <v>8445</v>
      </c>
      <c r="B8" t="s">
        <v>169</v>
      </c>
      <c r="C8" t="s">
        <v>22</v>
      </c>
      <c r="D8">
        <v>24</v>
      </c>
      <c r="E8" t="s">
        <v>23</v>
      </c>
      <c r="F8" t="s">
        <v>102</v>
      </c>
      <c r="G8" t="s">
        <v>25</v>
      </c>
      <c r="H8" t="s">
        <v>60</v>
      </c>
      <c r="I8" t="s">
        <v>170</v>
      </c>
      <c r="J8" t="s">
        <v>171</v>
      </c>
      <c r="K8" t="s">
        <v>29</v>
      </c>
      <c r="L8" t="s">
        <v>54</v>
      </c>
      <c r="M8">
        <v>30137</v>
      </c>
      <c r="N8" t="s">
        <v>45</v>
      </c>
      <c r="O8">
        <v>4031</v>
      </c>
      <c r="P8" t="s">
        <v>46</v>
      </c>
      <c r="Q8">
        <v>5</v>
      </c>
      <c r="R8">
        <v>3</v>
      </c>
      <c r="S8" t="s">
        <v>46</v>
      </c>
      <c r="T8" t="s">
        <v>56</v>
      </c>
      <c r="U8" t="s">
        <v>35</v>
      </c>
    </row>
    <row r="9" spans="1:21">
      <c r="A9">
        <v>3104</v>
      </c>
      <c r="B9" t="s">
        <v>136</v>
      </c>
      <c r="C9" t="s">
        <v>22</v>
      </c>
      <c r="D9">
        <v>23</v>
      </c>
      <c r="E9" t="s">
        <v>23</v>
      </c>
      <c r="F9" t="s">
        <v>80</v>
      </c>
      <c r="G9" t="s">
        <v>40</v>
      </c>
      <c r="H9" t="s">
        <v>41</v>
      </c>
      <c r="I9" t="s">
        <v>137</v>
      </c>
      <c r="J9" t="s">
        <v>138</v>
      </c>
      <c r="K9" t="s">
        <v>111</v>
      </c>
      <c r="L9" t="s">
        <v>44</v>
      </c>
      <c r="M9">
        <v>37351</v>
      </c>
      <c r="N9" t="s">
        <v>55</v>
      </c>
      <c r="O9">
        <v>7858</v>
      </c>
      <c r="P9" t="s">
        <v>65</v>
      </c>
      <c r="Q9">
        <v>18</v>
      </c>
      <c r="R9">
        <v>2</v>
      </c>
      <c r="S9" t="s">
        <v>33</v>
      </c>
      <c r="T9" t="s">
        <v>56</v>
      </c>
      <c r="U9" t="s">
        <v>57</v>
      </c>
    </row>
    <row r="10" spans="1:21">
      <c r="A10">
        <v>5742</v>
      </c>
      <c r="B10" t="s">
        <v>211</v>
      </c>
      <c r="C10" t="s">
        <v>22</v>
      </c>
      <c r="D10">
        <v>27</v>
      </c>
      <c r="E10" t="s">
        <v>38</v>
      </c>
      <c r="F10" t="s">
        <v>24</v>
      </c>
      <c r="G10" t="s">
        <v>50</v>
      </c>
      <c r="H10" t="s">
        <v>60</v>
      </c>
      <c r="I10" t="s">
        <v>212</v>
      </c>
      <c r="J10" t="s">
        <v>213</v>
      </c>
      <c r="K10" t="s">
        <v>29</v>
      </c>
      <c r="L10" t="s">
        <v>44</v>
      </c>
      <c r="M10">
        <v>33183</v>
      </c>
      <c r="N10" t="s">
        <v>64</v>
      </c>
      <c r="O10">
        <v>1659</v>
      </c>
      <c r="P10" t="s">
        <v>46</v>
      </c>
      <c r="Q10">
        <v>11</v>
      </c>
      <c r="R10">
        <v>1</v>
      </c>
      <c r="S10" t="s">
        <v>33</v>
      </c>
      <c r="T10" t="s">
        <v>66</v>
      </c>
      <c r="U10" t="s">
        <v>46</v>
      </c>
    </row>
    <row r="11" spans="1:21">
      <c r="A11">
        <v>1952</v>
      </c>
      <c r="B11" t="s">
        <v>205</v>
      </c>
      <c r="C11" t="s">
        <v>22</v>
      </c>
      <c r="D11">
        <v>29</v>
      </c>
      <c r="E11" t="s">
        <v>38</v>
      </c>
      <c r="F11" t="s">
        <v>102</v>
      </c>
      <c r="G11" t="s">
        <v>25</v>
      </c>
      <c r="H11" t="s">
        <v>41</v>
      </c>
      <c r="I11" t="s">
        <v>206</v>
      </c>
      <c r="J11" t="s">
        <v>207</v>
      </c>
      <c r="K11" t="s">
        <v>29</v>
      </c>
      <c r="L11" t="s">
        <v>54</v>
      </c>
      <c r="M11">
        <v>45188</v>
      </c>
      <c r="N11" t="s">
        <v>64</v>
      </c>
      <c r="O11">
        <v>9591</v>
      </c>
      <c r="P11" t="s">
        <v>65</v>
      </c>
      <c r="Q11">
        <v>18</v>
      </c>
      <c r="R11">
        <v>3</v>
      </c>
      <c r="S11" t="s">
        <v>33</v>
      </c>
      <c r="T11" t="s">
        <v>75</v>
      </c>
      <c r="U11" t="s">
        <v>46</v>
      </c>
    </row>
    <row r="12" spans="1:21">
      <c r="A12">
        <v>2873</v>
      </c>
      <c r="B12" t="s">
        <v>71</v>
      </c>
      <c r="C12" t="s">
        <v>22</v>
      </c>
      <c r="D12">
        <v>28</v>
      </c>
      <c r="E12" t="s">
        <v>38</v>
      </c>
      <c r="F12" t="s">
        <v>49</v>
      </c>
      <c r="G12" t="s">
        <v>72</v>
      </c>
      <c r="H12" t="s">
        <v>51</v>
      </c>
      <c r="I12" t="s">
        <v>73</v>
      </c>
      <c r="J12" t="s">
        <v>74</v>
      </c>
      <c r="K12" t="s">
        <v>29</v>
      </c>
      <c r="L12" t="s">
        <v>44</v>
      </c>
      <c r="M12">
        <v>96249</v>
      </c>
      <c r="N12" t="s">
        <v>31</v>
      </c>
      <c r="O12">
        <v>4826</v>
      </c>
      <c r="P12" t="s">
        <v>65</v>
      </c>
      <c r="Q12">
        <v>7</v>
      </c>
      <c r="R12">
        <v>3</v>
      </c>
      <c r="S12" t="s">
        <v>33</v>
      </c>
      <c r="T12" t="s">
        <v>75</v>
      </c>
      <c r="U12" t="s">
        <v>35</v>
      </c>
    </row>
    <row r="13" spans="1:21">
      <c r="A13">
        <v>9554</v>
      </c>
      <c r="B13" t="s">
        <v>87</v>
      </c>
      <c r="C13" t="s">
        <v>22</v>
      </c>
      <c r="D13">
        <v>29</v>
      </c>
      <c r="E13" t="s">
        <v>38</v>
      </c>
      <c r="F13" t="s">
        <v>39</v>
      </c>
      <c r="G13" t="s">
        <v>50</v>
      </c>
      <c r="H13" t="s">
        <v>60</v>
      </c>
      <c r="I13" t="s">
        <v>88</v>
      </c>
      <c r="J13" t="s">
        <v>89</v>
      </c>
      <c r="K13" t="s">
        <v>29</v>
      </c>
      <c r="L13" t="s">
        <v>44</v>
      </c>
      <c r="M13">
        <v>87852</v>
      </c>
      <c r="N13" t="s">
        <v>64</v>
      </c>
      <c r="O13">
        <v>4980</v>
      </c>
      <c r="P13" t="s">
        <v>65</v>
      </c>
      <c r="Q13">
        <v>19</v>
      </c>
      <c r="R13">
        <v>3</v>
      </c>
      <c r="S13" t="s">
        <v>46</v>
      </c>
      <c r="T13" t="s">
        <v>66</v>
      </c>
      <c r="U13" t="s">
        <v>35</v>
      </c>
    </row>
    <row r="14" spans="1:21">
      <c r="A14">
        <v>5874</v>
      </c>
      <c r="B14" t="s">
        <v>58</v>
      </c>
      <c r="C14" t="s">
        <v>22</v>
      </c>
      <c r="D14">
        <v>35</v>
      </c>
      <c r="E14" t="s">
        <v>38</v>
      </c>
      <c r="F14" t="s">
        <v>102</v>
      </c>
      <c r="G14" t="s">
        <v>72</v>
      </c>
      <c r="H14" t="s">
        <v>26</v>
      </c>
      <c r="I14" t="s">
        <v>115</v>
      </c>
      <c r="J14" t="s">
        <v>116</v>
      </c>
      <c r="K14" t="s">
        <v>111</v>
      </c>
      <c r="L14" t="s">
        <v>30</v>
      </c>
      <c r="M14">
        <v>75065</v>
      </c>
      <c r="N14" t="s">
        <v>31</v>
      </c>
      <c r="O14">
        <v>7123</v>
      </c>
      <c r="P14" t="s">
        <v>46</v>
      </c>
      <c r="Q14">
        <v>20</v>
      </c>
      <c r="R14">
        <v>2</v>
      </c>
      <c r="S14" t="s">
        <v>46</v>
      </c>
      <c r="T14" t="s">
        <v>34</v>
      </c>
      <c r="U14" t="s">
        <v>57</v>
      </c>
    </row>
    <row r="15" spans="1:21">
      <c r="A15">
        <v>6505</v>
      </c>
      <c r="B15" t="s">
        <v>127</v>
      </c>
      <c r="C15" t="s">
        <v>22</v>
      </c>
      <c r="D15">
        <v>28</v>
      </c>
      <c r="E15" t="s">
        <v>38</v>
      </c>
      <c r="F15" t="s">
        <v>24</v>
      </c>
      <c r="G15" t="s">
        <v>40</v>
      </c>
      <c r="H15" t="s">
        <v>81</v>
      </c>
      <c r="I15" t="s">
        <v>128</v>
      </c>
      <c r="J15" t="s">
        <v>129</v>
      </c>
      <c r="K15" t="s">
        <v>29</v>
      </c>
      <c r="L15" t="s">
        <v>44</v>
      </c>
      <c r="M15">
        <v>73002</v>
      </c>
      <c r="N15" t="s">
        <v>31</v>
      </c>
      <c r="O15">
        <v>6296</v>
      </c>
      <c r="P15" t="s">
        <v>32</v>
      </c>
      <c r="Q15">
        <v>2</v>
      </c>
      <c r="R15">
        <v>5</v>
      </c>
      <c r="S15" t="s">
        <v>47</v>
      </c>
      <c r="T15" t="s">
        <v>56</v>
      </c>
      <c r="U15" t="s">
        <v>35</v>
      </c>
    </row>
    <row r="16" spans="1:21">
      <c r="A16">
        <v>5979</v>
      </c>
      <c r="B16" t="s">
        <v>133</v>
      </c>
      <c r="C16" t="s">
        <v>22</v>
      </c>
      <c r="D16">
        <v>31</v>
      </c>
      <c r="E16" t="s">
        <v>38</v>
      </c>
      <c r="F16" t="s">
        <v>24</v>
      </c>
      <c r="G16" t="s">
        <v>25</v>
      </c>
      <c r="H16" t="s">
        <v>51</v>
      </c>
      <c r="I16" t="s">
        <v>134</v>
      </c>
      <c r="J16" t="s">
        <v>135</v>
      </c>
      <c r="K16" t="s">
        <v>63</v>
      </c>
      <c r="L16" t="s">
        <v>44</v>
      </c>
      <c r="M16">
        <v>67582</v>
      </c>
      <c r="N16" t="s">
        <v>64</v>
      </c>
      <c r="O16">
        <v>1375</v>
      </c>
      <c r="P16" t="s">
        <v>32</v>
      </c>
      <c r="Q16">
        <v>20</v>
      </c>
      <c r="R16">
        <v>3</v>
      </c>
      <c r="S16" t="s">
        <v>47</v>
      </c>
      <c r="T16" t="s">
        <v>56</v>
      </c>
      <c r="U16" t="s">
        <v>46</v>
      </c>
    </row>
    <row r="17" spans="1:21">
      <c r="A17">
        <v>8071</v>
      </c>
      <c r="B17" t="s">
        <v>58</v>
      </c>
      <c r="C17" t="s">
        <v>22</v>
      </c>
      <c r="D17">
        <v>41</v>
      </c>
      <c r="E17" t="s">
        <v>59</v>
      </c>
      <c r="F17" t="s">
        <v>49</v>
      </c>
      <c r="G17" t="s">
        <v>25</v>
      </c>
      <c r="H17" t="s">
        <v>60</v>
      </c>
      <c r="I17" t="s">
        <v>61</v>
      </c>
      <c r="J17" t="s">
        <v>62</v>
      </c>
      <c r="K17" t="s">
        <v>63</v>
      </c>
      <c r="L17" t="s">
        <v>30</v>
      </c>
      <c r="M17">
        <v>62993</v>
      </c>
      <c r="N17" t="s">
        <v>64</v>
      </c>
      <c r="O17">
        <v>2695</v>
      </c>
      <c r="P17" t="s">
        <v>65</v>
      </c>
      <c r="Q17">
        <v>0</v>
      </c>
      <c r="R17">
        <v>2</v>
      </c>
      <c r="S17" t="s">
        <v>46</v>
      </c>
      <c r="T17" t="s">
        <v>66</v>
      </c>
      <c r="U17" t="s">
        <v>46</v>
      </c>
    </row>
    <row r="18" spans="1:21">
      <c r="A18">
        <v>5587</v>
      </c>
      <c r="B18" t="s">
        <v>84</v>
      </c>
      <c r="C18" t="s">
        <v>22</v>
      </c>
      <c r="D18">
        <v>44</v>
      </c>
      <c r="E18" t="s">
        <v>59</v>
      </c>
      <c r="F18" t="s">
        <v>80</v>
      </c>
      <c r="G18" t="s">
        <v>50</v>
      </c>
      <c r="H18" t="s">
        <v>51</v>
      </c>
      <c r="I18" t="s">
        <v>85</v>
      </c>
      <c r="J18" t="s">
        <v>86</v>
      </c>
      <c r="K18" t="s">
        <v>29</v>
      </c>
      <c r="L18" t="s">
        <v>30</v>
      </c>
      <c r="M18">
        <v>81235</v>
      </c>
      <c r="N18" t="s">
        <v>64</v>
      </c>
      <c r="O18">
        <v>6553</v>
      </c>
      <c r="P18" t="s">
        <v>46</v>
      </c>
      <c r="Q18">
        <v>16</v>
      </c>
      <c r="R18">
        <v>2</v>
      </c>
      <c r="S18" t="s">
        <v>46</v>
      </c>
      <c r="T18" t="s">
        <v>56</v>
      </c>
      <c r="U18" t="s">
        <v>35</v>
      </c>
    </row>
    <row r="19" spans="1:21">
      <c r="A19">
        <v>7951</v>
      </c>
      <c r="B19" t="s">
        <v>196</v>
      </c>
      <c r="C19" t="s">
        <v>22</v>
      </c>
      <c r="D19">
        <v>36</v>
      </c>
      <c r="E19" t="s">
        <v>59</v>
      </c>
      <c r="F19" t="s">
        <v>80</v>
      </c>
      <c r="G19" t="s">
        <v>50</v>
      </c>
      <c r="H19" t="s">
        <v>81</v>
      </c>
      <c r="I19" t="s">
        <v>197</v>
      </c>
      <c r="J19" t="s">
        <v>198</v>
      </c>
      <c r="K19" t="s">
        <v>63</v>
      </c>
      <c r="L19" t="s">
        <v>30</v>
      </c>
      <c r="M19">
        <v>98612</v>
      </c>
      <c r="N19" t="s">
        <v>64</v>
      </c>
      <c r="O19">
        <v>1168</v>
      </c>
      <c r="P19" t="s">
        <v>46</v>
      </c>
      <c r="Q19">
        <v>9</v>
      </c>
      <c r="R19">
        <v>2</v>
      </c>
      <c r="S19" t="s">
        <v>47</v>
      </c>
      <c r="T19" t="s">
        <v>34</v>
      </c>
      <c r="U19" t="s">
        <v>35</v>
      </c>
    </row>
    <row r="20" spans="1:21">
      <c r="A20">
        <v>4522</v>
      </c>
      <c r="B20" t="s">
        <v>187</v>
      </c>
      <c r="C20" t="s">
        <v>22</v>
      </c>
      <c r="D20">
        <v>36</v>
      </c>
      <c r="E20" t="s">
        <v>59</v>
      </c>
      <c r="F20" t="s">
        <v>24</v>
      </c>
      <c r="G20" t="s">
        <v>121</v>
      </c>
      <c r="H20" t="s">
        <v>26</v>
      </c>
      <c r="I20" t="s">
        <v>188</v>
      </c>
      <c r="J20" t="s">
        <v>189</v>
      </c>
      <c r="K20" t="s">
        <v>63</v>
      </c>
      <c r="L20" t="s">
        <v>44</v>
      </c>
      <c r="M20">
        <v>39795</v>
      </c>
      <c r="N20" t="s">
        <v>64</v>
      </c>
      <c r="O20">
        <v>1670</v>
      </c>
      <c r="P20" t="s">
        <v>46</v>
      </c>
      <c r="Q20">
        <v>0</v>
      </c>
      <c r="R20">
        <v>2</v>
      </c>
      <c r="S20" t="s">
        <v>47</v>
      </c>
      <c r="T20" t="s">
        <v>75</v>
      </c>
      <c r="U20" t="s">
        <v>46</v>
      </c>
    </row>
    <row r="21" spans="1:21">
      <c r="A21">
        <v>9374</v>
      </c>
      <c r="B21" t="s">
        <v>163</v>
      </c>
      <c r="C21" t="s">
        <v>22</v>
      </c>
      <c r="D21">
        <v>42</v>
      </c>
      <c r="E21" t="s">
        <v>59</v>
      </c>
      <c r="F21" t="s">
        <v>39</v>
      </c>
      <c r="G21" t="s">
        <v>50</v>
      </c>
      <c r="H21" t="s">
        <v>51</v>
      </c>
      <c r="I21" t="s">
        <v>164</v>
      </c>
      <c r="J21" t="s">
        <v>165</v>
      </c>
      <c r="K21" t="s">
        <v>63</v>
      </c>
      <c r="L21" t="s">
        <v>54</v>
      </c>
      <c r="M21">
        <v>95734</v>
      </c>
      <c r="N21" t="s">
        <v>31</v>
      </c>
      <c r="O21">
        <v>4854</v>
      </c>
      <c r="P21" t="s">
        <v>32</v>
      </c>
      <c r="Q21">
        <v>13</v>
      </c>
      <c r="R21">
        <v>2</v>
      </c>
      <c r="S21" t="s">
        <v>33</v>
      </c>
      <c r="T21" t="s">
        <v>34</v>
      </c>
      <c r="U21" t="s">
        <v>35</v>
      </c>
    </row>
    <row r="22" spans="1:21">
      <c r="A22">
        <v>6357</v>
      </c>
      <c r="B22" t="s">
        <v>193</v>
      </c>
      <c r="C22" t="s">
        <v>22</v>
      </c>
      <c r="D22">
        <v>46</v>
      </c>
      <c r="E22" t="s">
        <v>98</v>
      </c>
      <c r="F22" t="s">
        <v>49</v>
      </c>
      <c r="G22" t="s">
        <v>40</v>
      </c>
      <c r="H22" t="s">
        <v>81</v>
      </c>
      <c r="I22" t="s">
        <v>194</v>
      </c>
      <c r="J22" t="s">
        <v>195</v>
      </c>
      <c r="K22" t="s">
        <v>63</v>
      </c>
      <c r="L22" t="s">
        <v>54</v>
      </c>
      <c r="M22">
        <v>49058</v>
      </c>
      <c r="N22" t="s">
        <v>45</v>
      </c>
      <c r="O22">
        <v>4396</v>
      </c>
      <c r="P22" t="s">
        <v>46</v>
      </c>
      <c r="Q22">
        <v>5</v>
      </c>
      <c r="R22">
        <v>1</v>
      </c>
      <c r="S22" t="s">
        <v>46</v>
      </c>
      <c r="T22" t="s">
        <v>75</v>
      </c>
      <c r="U22" t="s">
        <v>46</v>
      </c>
    </row>
    <row r="23" spans="1:21">
      <c r="A23">
        <v>9508</v>
      </c>
      <c r="B23" t="s">
        <v>97</v>
      </c>
      <c r="C23" t="s">
        <v>22</v>
      </c>
      <c r="D23">
        <v>49</v>
      </c>
      <c r="E23" t="s">
        <v>98</v>
      </c>
      <c r="F23" t="s">
        <v>39</v>
      </c>
      <c r="G23" t="s">
        <v>25</v>
      </c>
      <c r="H23" t="s">
        <v>26</v>
      </c>
      <c r="I23" t="s">
        <v>99</v>
      </c>
      <c r="J23" t="s">
        <v>100</v>
      </c>
      <c r="K23" t="s">
        <v>63</v>
      </c>
      <c r="L23" t="s">
        <v>30</v>
      </c>
      <c r="M23">
        <v>32788</v>
      </c>
      <c r="N23" t="s">
        <v>55</v>
      </c>
      <c r="O23">
        <v>4396</v>
      </c>
      <c r="P23" t="s">
        <v>32</v>
      </c>
      <c r="Q23">
        <v>13</v>
      </c>
      <c r="R23">
        <v>5</v>
      </c>
      <c r="S23" t="s">
        <v>46</v>
      </c>
      <c r="T23" t="s">
        <v>75</v>
      </c>
      <c r="U23" t="s">
        <v>57</v>
      </c>
    </row>
    <row r="24" spans="1:21">
      <c r="A24">
        <v>8012</v>
      </c>
      <c r="B24" t="s">
        <v>160</v>
      </c>
      <c r="C24" t="s">
        <v>22</v>
      </c>
      <c r="D24">
        <v>52</v>
      </c>
      <c r="E24" t="s">
        <v>98</v>
      </c>
      <c r="F24" t="s">
        <v>24</v>
      </c>
      <c r="G24" t="s">
        <v>25</v>
      </c>
      <c r="H24" t="s">
        <v>81</v>
      </c>
      <c r="I24" t="s">
        <v>161</v>
      </c>
      <c r="J24" t="s">
        <v>162</v>
      </c>
      <c r="K24" t="s">
        <v>111</v>
      </c>
      <c r="L24" t="s">
        <v>44</v>
      </c>
      <c r="M24">
        <v>56162</v>
      </c>
      <c r="N24" t="s">
        <v>55</v>
      </c>
      <c r="O24">
        <v>6560</v>
      </c>
      <c r="P24" t="s">
        <v>65</v>
      </c>
      <c r="Q24">
        <v>9</v>
      </c>
      <c r="R24">
        <v>4</v>
      </c>
      <c r="S24" t="s">
        <v>47</v>
      </c>
      <c r="T24" t="s">
        <v>75</v>
      </c>
      <c r="U24" t="s">
        <v>46</v>
      </c>
    </row>
    <row r="25" spans="1:21">
      <c r="A25">
        <v>8967</v>
      </c>
      <c r="B25" t="s">
        <v>139</v>
      </c>
      <c r="C25" t="s">
        <v>22</v>
      </c>
      <c r="D25">
        <v>48</v>
      </c>
      <c r="E25" t="s">
        <v>98</v>
      </c>
      <c r="F25" t="s">
        <v>102</v>
      </c>
      <c r="G25" t="s">
        <v>50</v>
      </c>
      <c r="H25" t="s">
        <v>26</v>
      </c>
      <c r="I25" t="s">
        <v>140</v>
      </c>
      <c r="J25" t="s">
        <v>141</v>
      </c>
      <c r="K25" t="s">
        <v>29</v>
      </c>
      <c r="L25" t="s">
        <v>44</v>
      </c>
      <c r="M25">
        <v>36721</v>
      </c>
      <c r="N25" t="s">
        <v>45</v>
      </c>
      <c r="O25">
        <v>8820</v>
      </c>
      <c r="P25" t="s">
        <v>65</v>
      </c>
      <c r="Q25">
        <v>0</v>
      </c>
      <c r="R25">
        <v>2</v>
      </c>
      <c r="S25" t="s">
        <v>47</v>
      </c>
      <c r="T25" t="s">
        <v>56</v>
      </c>
      <c r="U25" t="s">
        <v>35</v>
      </c>
    </row>
    <row r="26" spans="1:21">
      <c r="A26">
        <v>5760</v>
      </c>
      <c r="B26" t="s">
        <v>208</v>
      </c>
      <c r="C26" t="s">
        <v>22</v>
      </c>
      <c r="D26">
        <v>59</v>
      </c>
      <c r="E26" t="s">
        <v>68</v>
      </c>
      <c r="F26" t="s">
        <v>49</v>
      </c>
      <c r="G26" t="s">
        <v>40</v>
      </c>
      <c r="H26" t="s">
        <v>26</v>
      </c>
      <c r="I26" t="s">
        <v>209</v>
      </c>
      <c r="J26" t="s">
        <v>210</v>
      </c>
      <c r="K26" t="s">
        <v>29</v>
      </c>
      <c r="L26" t="s">
        <v>44</v>
      </c>
      <c r="M26">
        <v>34927</v>
      </c>
      <c r="N26" t="s">
        <v>55</v>
      </c>
      <c r="O26">
        <v>6996</v>
      </c>
      <c r="P26" t="s">
        <v>65</v>
      </c>
      <c r="Q26">
        <v>16</v>
      </c>
      <c r="R26">
        <v>1</v>
      </c>
      <c r="S26" t="s">
        <v>47</v>
      </c>
      <c r="T26" t="s">
        <v>34</v>
      </c>
      <c r="U26" t="s">
        <v>35</v>
      </c>
    </row>
    <row r="27" spans="1:21">
      <c r="A27">
        <v>3653</v>
      </c>
      <c r="B27" t="s">
        <v>79</v>
      </c>
      <c r="C27" t="s">
        <v>22</v>
      </c>
      <c r="D27">
        <v>58</v>
      </c>
      <c r="E27" t="s">
        <v>68</v>
      </c>
      <c r="F27" t="s">
        <v>80</v>
      </c>
      <c r="G27" t="s">
        <v>40</v>
      </c>
      <c r="H27" t="s">
        <v>81</v>
      </c>
      <c r="I27" t="s">
        <v>82</v>
      </c>
      <c r="J27" t="s">
        <v>83</v>
      </c>
      <c r="K27" t="s">
        <v>29</v>
      </c>
      <c r="L27" t="s">
        <v>54</v>
      </c>
      <c r="M27">
        <v>97869</v>
      </c>
      <c r="N27" t="s">
        <v>64</v>
      </c>
      <c r="O27">
        <v>1966</v>
      </c>
      <c r="P27" t="s">
        <v>32</v>
      </c>
      <c r="Q27">
        <v>10</v>
      </c>
      <c r="R27">
        <v>1</v>
      </c>
      <c r="S27" t="s">
        <v>33</v>
      </c>
      <c r="T27" t="s">
        <v>34</v>
      </c>
      <c r="U27" t="s">
        <v>35</v>
      </c>
    </row>
    <row r="28" spans="1:21">
      <c r="A28">
        <v>1955</v>
      </c>
      <c r="B28" t="s">
        <v>184</v>
      </c>
      <c r="C28" t="s">
        <v>22</v>
      </c>
      <c r="D28">
        <v>58</v>
      </c>
      <c r="E28" t="s">
        <v>68</v>
      </c>
      <c r="F28" t="s">
        <v>49</v>
      </c>
      <c r="G28" t="s">
        <v>50</v>
      </c>
      <c r="H28" t="s">
        <v>41</v>
      </c>
      <c r="I28" t="s">
        <v>185</v>
      </c>
      <c r="J28" t="s">
        <v>186</v>
      </c>
      <c r="K28" t="s">
        <v>63</v>
      </c>
      <c r="L28" t="s">
        <v>54</v>
      </c>
      <c r="M28">
        <v>46567</v>
      </c>
      <c r="N28" t="s">
        <v>64</v>
      </c>
      <c r="O28">
        <v>2825</v>
      </c>
      <c r="P28" t="s">
        <v>32</v>
      </c>
      <c r="Q28">
        <v>15</v>
      </c>
      <c r="R28">
        <v>3</v>
      </c>
      <c r="S28" t="s">
        <v>46</v>
      </c>
      <c r="T28" t="s">
        <v>96</v>
      </c>
      <c r="U28" t="s">
        <v>57</v>
      </c>
    </row>
    <row r="29" spans="1:21">
      <c r="A29">
        <v>8029</v>
      </c>
      <c r="B29" t="s">
        <v>178</v>
      </c>
      <c r="C29" t="s">
        <v>22</v>
      </c>
      <c r="D29">
        <v>57</v>
      </c>
      <c r="E29" t="s">
        <v>68</v>
      </c>
      <c r="F29" t="s">
        <v>80</v>
      </c>
      <c r="G29" t="s">
        <v>121</v>
      </c>
      <c r="H29" t="s">
        <v>81</v>
      </c>
      <c r="I29" t="s">
        <v>179</v>
      </c>
      <c r="J29" t="s">
        <v>180</v>
      </c>
      <c r="K29" t="s">
        <v>111</v>
      </c>
      <c r="L29" t="s">
        <v>44</v>
      </c>
      <c r="M29">
        <v>34109</v>
      </c>
      <c r="N29" t="s">
        <v>45</v>
      </c>
      <c r="O29">
        <v>9232</v>
      </c>
      <c r="P29" t="s">
        <v>32</v>
      </c>
      <c r="Q29">
        <v>13</v>
      </c>
      <c r="R29">
        <v>3</v>
      </c>
      <c r="S29" t="s">
        <v>33</v>
      </c>
      <c r="T29" t="s">
        <v>34</v>
      </c>
      <c r="U29" t="s">
        <v>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9A53-5891-4BC1-8FD4-4A65D6014F83}">
  <dimension ref="B1:Z23"/>
  <sheetViews>
    <sheetView topLeftCell="B1" zoomScale="49" workbookViewId="0">
      <selection activeCell="I10" sqref="I10:K10"/>
      <pivotSelection pane="bottomRight" showHeader="1" extendable="1" start="5" max="6" activeRow="9" activeCol="8" click="1" r:id="rId4">
        <pivotArea dataOnly="0" grandRow="1" fieldPosition="0"/>
      </pivotSelection>
    </sheetView>
  </sheetViews>
  <sheetFormatPr defaultRowHeight="14.5"/>
  <cols>
    <col min="1" max="1" width="7.81640625" customWidth="1"/>
    <col min="2" max="2" width="21.54296875" style="26" customWidth="1"/>
    <col min="3" max="3" width="22.6328125" style="26" customWidth="1"/>
    <col min="4" max="4" width="2.81640625" customWidth="1"/>
    <col min="5" max="5" width="15.453125" style="11" bestFit="1" customWidth="1"/>
    <col min="6" max="6" width="15" style="11" bestFit="1" customWidth="1"/>
    <col min="7" max="7" width="21.54296875" customWidth="1"/>
    <col min="8" max="8" width="6.26953125" customWidth="1"/>
    <col min="9" max="9" width="23.81640625" style="11" bestFit="1" customWidth="1"/>
    <col min="10" max="10" width="23.453125" style="11" bestFit="1" customWidth="1"/>
    <col min="11" max="11" width="7" style="11" bestFit="1" customWidth="1"/>
    <col min="12" max="12" width="15.26953125" style="11" bestFit="1" customWidth="1"/>
    <col min="13" max="13" width="2.81640625" customWidth="1"/>
    <col min="14" max="14" width="13.26953125" style="11" bestFit="1" customWidth="1"/>
    <col min="15" max="15" width="20.1796875" style="11" bestFit="1" customWidth="1"/>
    <col min="16" max="16" width="3.6328125" customWidth="1"/>
    <col min="17" max="18" width="8.7265625" hidden="1" customWidth="1"/>
    <col min="19" max="19" width="14.1796875" style="11" bestFit="1" customWidth="1"/>
    <col min="20" max="20" width="17" style="11" bestFit="1" customWidth="1"/>
    <col min="21" max="21" width="4.36328125" customWidth="1"/>
    <col min="22" max="22" width="13.26953125" style="11" bestFit="1" customWidth="1"/>
    <col min="23" max="23" width="17" style="11" bestFit="1" customWidth="1"/>
    <col min="25" max="25" width="13.26953125" style="11" bestFit="1" customWidth="1"/>
    <col min="26" max="26" width="32.81640625" style="11" bestFit="1" customWidth="1"/>
  </cols>
  <sheetData>
    <row r="1" spans="2:26" ht="21" customHeight="1">
      <c r="B1" s="31" t="s">
        <v>217</v>
      </c>
      <c r="C1" s="31"/>
      <c r="E1" s="30" t="s">
        <v>220</v>
      </c>
      <c r="F1" s="30"/>
      <c r="G1" s="30"/>
      <c r="H1" s="15"/>
      <c r="I1" s="30" t="s">
        <v>222</v>
      </c>
      <c r="J1" s="30"/>
      <c r="K1" s="30"/>
      <c r="L1" s="30"/>
      <c r="N1" s="30" t="s">
        <v>224</v>
      </c>
      <c r="O1" s="30"/>
      <c r="S1" s="30" t="s">
        <v>19</v>
      </c>
      <c r="T1" s="30"/>
      <c r="V1" s="30" t="s">
        <v>226</v>
      </c>
      <c r="W1" s="30"/>
      <c r="Y1" s="30" t="s">
        <v>228</v>
      </c>
      <c r="Z1" s="30"/>
    </row>
    <row r="2" spans="2:26">
      <c r="B2" s="24"/>
      <c r="C2" s="24"/>
    </row>
    <row r="3" spans="2:26">
      <c r="B3" s="25" t="s">
        <v>214</v>
      </c>
      <c r="C3" s="26" t="s">
        <v>216</v>
      </c>
      <c r="E3" s="12" t="s">
        <v>214</v>
      </c>
      <c r="F3" s="11" t="s">
        <v>219</v>
      </c>
      <c r="G3" s="11" t="s">
        <v>225</v>
      </c>
      <c r="H3" s="11"/>
      <c r="I3" s="8" t="s">
        <v>216</v>
      </c>
      <c r="J3" s="8" t="s">
        <v>221</v>
      </c>
      <c r="K3"/>
      <c r="L3"/>
    </row>
    <row r="4" spans="2:26">
      <c r="B4" s="27" t="s">
        <v>63</v>
      </c>
      <c r="C4" s="26">
        <v>17</v>
      </c>
      <c r="E4" s="13" t="s">
        <v>121</v>
      </c>
      <c r="F4" s="17">
        <v>167041</v>
      </c>
      <c r="G4" s="17">
        <v>28</v>
      </c>
      <c r="H4" s="17"/>
      <c r="I4" s="8" t="s">
        <v>214</v>
      </c>
      <c r="J4" t="s">
        <v>22</v>
      </c>
      <c r="K4" t="s">
        <v>37</v>
      </c>
      <c r="L4" t="s">
        <v>215</v>
      </c>
      <c r="N4" s="12" t="s">
        <v>214</v>
      </c>
      <c r="O4" s="11" t="s">
        <v>216</v>
      </c>
      <c r="S4" s="12" t="s">
        <v>214</v>
      </c>
      <c r="T4" s="11" t="s">
        <v>216</v>
      </c>
      <c r="V4" s="12" t="s">
        <v>214</v>
      </c>
      <c r="W4" s="11" t="s">
        <v>216</v>
      </c>
      <c r="Y4" s="12" t="s">
        <v>214</v>
      </c>
      <c r="Z4" s="11" t="s">
        <v>227</v>
      </c>
    </row>
    <row r="5" spans="2:26">
      <c r="B5" s="27" t="s">
        <v>29</v>
      </c>
      <c r="C5" s="26">
        <v>20</v>
      </c>
      <c r="E5" s="13" t="s">
        <v>40</v>
      </c>
      <c r="F5" s="17">
        <v>613842</v>
      </c>
      <c r="G5" s="17">
        <v>110</v>
      </c>
      <c r="H5" s="17"/>
      <c r="I5" s="9" t="s">
        <v>23</v>
      </c>
      <c r="J5">
        <v>1</v>
      </c>
      <c r="K5"/>
      <c r="L5">
        <v>1</v>
      </c>
      <c r="N5" s="13" t="s">
        <v>44</v>
      </c>
      <c r="O5" s="11">
        <v>23</v>
      </c>
      <c r="S5" s="13" t="s">
        <v>75</v>
      </c>
      <c r="T5" s="11">
        <v>12</v>
      </c>
      <c r="V5" s="13" t="s">
        <v>39</v>
      </c>
      <c r="W5" s="11">
        <v>14</v>
      </c>
      <c r="Y5" s="13" t="s">
        <v>26</v>
      </c>
      <c r="Z5" s="16">
        <v>2.5833333333333335</v>
      </c>
    </row>
    <row r="6" spans="2:26">
      <c r="B6" s="27" t="s">
        <v>111</v>
      </c>
      <c r="C6" s="26">
        <v>13</v>
      </c>
      <c r="E6" s="13" t="s">
        <v>72</v>
      </c>
      <c r="F6" s="17">
        <v>633594</v>
      </c>
      <c r="G6" s="17">
        <v>104</v>
      </c>
      <c r="H6" s="17"/>
      <c r="I6" s="9" t="s">
        <v>38</v>
      </c>
      <c r="J6">
        <v>1</v>
      </c>
      <c r="K6"/>
      <c r="L6">
        <v>1</v>
      </c>
      <c r="N6" s="13" t="s">
        <v>30</v>
      </c>
      <c r="O6" s="11">
        <v>8</v>
      </c>
      <c r="S6" s="13" t="s">
        <v>34</v>
      </c>
      <c r="T6" s="11">
        <v>11</v>
      </c>
      <c r="V6" s="13" t="s">
        <v>24</v>
      </c>
      <c r="W6" s="11">
        <v>10</v>
      </c>
      <c r="Y6" s="13" t="s">
        <v>41</v>
      </c>
      <c r="Z6" s="16">
        <v>3.3</v>
      </c>
    </row>
    <row r="7" spans="2:26">
      <c r="B7" s="27" t="s">
        <v>215</v>
      </c>
      <c r="C7" s="26">
        <v>50</v>
      </c>
      <c r="E7" s="13" t="s">
        <v>50</v>
      </c>
      <c r="F7" s="17">
        <v>959266</v>
      </c>
      <c r="G7" s="17">
        <v>123</v>
      </c>
      <c r="H7" s="17"/>
      <c r="I7" s="9" t="s">
        <v>59</v>
      </c>
      <c r="J7">
        <v>1</v>
      </c>
      <c r="K7">
        <v>1</v>
      </c>
      <c r="L7">
        <v>2</v>
      </c>
      <c r="N7" s="13" t="s">
        <v>54</v>
      </c>
      <c r="O7" s="11">
        <v>19</v>
      </c>
      <c r="S7" s="13" t="s">
        <v>96</v>
      </c>
      <c r="T7" s="11">
        <v>7</v>
      </c>
      <c r="V7" s="13" t="s">
        <v>102</v>
      </c>
      <c r="W7" s="11">
        <v>7</v>
      </c>
      <c r="Y7" s="13" t="s">
        <v>81</v>
      </c>
      <c r="Z7" s="16">
        <v>2.25</v>
      </c>
    </row>
    <row r="8" spans="2:26">
      <c r="E8" s="13" t="s">
        <v>25</v>
      </c>
      <c r="F8" s="17">
        <v>731170</v>
      </c>
      <c r="G8" s="17">
        <v>122</v>
      </c>
      <c r="H8" s="17"/>
      <c r="I8" s="9" t="s">
        <v>98</v>
      </c>
      <c r="J8">
        <v>2</v>
      </c>
      <c r="K8"/>
      <c r="L8">
        <v>2</v>
      </c>
      <c r="N8" s="13" t="s">
        <v>215</v>
      </c>
      <c r="O8" s="11">
        <v>50</v>
      </c>
      <c r="S8" s="13" t="s">
        <v>56</v>
      </c>
      <c r="T8" s="11">
        <v>11</v>
      </c>
      <c r="V8" s="13" t="s">
        <v>80</v>
      </c>
      <c r="W8" s="11">
        <v>10</v>
      </c>
      <c r="Y8" s="13" t="s">
        <v>51</v>
      </c>
      <c r="Z8" s="16">
        <v>2.3636363636363638</v>
      </c>
    </row>
    <row r="9" spans="2:26">
      <c r="E9" s="13" t="s">
        <v>215</v>
      </c>
      <c r="F9" s="11">
        <v>3104913</v>
      </c>
      <c r="G9" s="11">
        <v>487</v>
      </c>
      <c r="H9" s="11"/>
      <c r="I9" s="9" t="s">
        <v>68</v>
      </c>
      <c r="J9">
        <v>2</v>
      </c>
      <c r="K9"/>
      <c r="L9">
        <v>2</v>
      </c>
      <c r="S9" s="13" t="s">
        <v>66</v>
      </c>
      <c r="T9" s="11">
        <v>9</v>
      </c>
      <c r="V9" s="13" t="s">
        <v>49</v>
      </c>
      <c r="W9" s="11">
        <v>9</v>
      </c>
      <c r="Y9" s="13" t="s">
        <v>60</v>
      </c>
      <c r="Z9" s="16">
        <v>2.5555555555555554</v>
      </c>
    </row>
    <row r="10" spans="2:26">
      <c r="B10" s="27" t="s">
        <v>63</v>
      </c>
      <c r="C10" s="26">
        <f>IFERROR(GETPIVOTDATA("Full Name",$B$3,"Employment Status","Contract"),"0")</f>
        <v>17</v>
      </c>
      <c r="I10" s="9" t="s">
        <v>215</v>
      </c>
      <c r="J10">
        <v>7</v>
      </c>
      <c r="K10">
        <v>1</v>
      </c>
      <c r="L10">
        <v>8</v>
      </c>
      <c r="S10" s="13" t="s">
        <v>215</v>
      </c>
      <c r="T10" s="11">
        <v>50</v>
      </c>
      <c r="V10" s="13" t="s">
        <v>215</v>
      </c>
      <c r="W10" s="11">
        <v>50</v>
      </c>
      <c r="Y10" s="13" t="s">
        <v>215</v>
      </c>
      <c r="Z10" s="11">
        <v>2.62</v>
      </c>
    </row>
    <row r="11" spans="2:26">
      <c r="B11" s="27" t="s">
        <v>29</v>
      </c>
      <c r="C11" s="26">
        <f>IFERROR(GETPIVOTDATA("Full Name",$B$3,"Employment Status","Full-Time"),"0")</f>
        <v>20</v>
      </c>
      <c r="N11" s="13" t="s">
        <v>44</v>
      </c>
      <c r="O11" s="11">
        <f>IFERROR(GETPIVOTDATA("Full Name",$N$4,"Work Location","Branch Office"),"0")</f>
        <v>23</v>
      </c>
    </row>
    <row r="12" spans="2:26">
      <c r="B12" s="27" t="s">
        <v>111</v>
      </c>
      <c r="C12" s="26">
        <f>IFERROR(GETPIVOTDATA("Full Name",$B$3,"Employment Status","Part-Time"),"0")</f>
        <v>13</v>
      </c>
      <c r="E12" s="11" t="s">
        <v>121</v>
      </c>
      <c r="F12" s="18">
        <f>IFERROR(GETPIVOTDATA("Salary",$E$3,"Job Title","Analyst"),"0")</f>
        <v>167041</v>
      </c>
      <c r="G12">
        <f>IFERROR(GETPIVOTDATA("Sum of Leave Taken",$E$3,"Job Title","Analyst"),"0")</f>
        <v>28</v>
      </c>
      <c r="J12" s="18"/>
      <c r="L12" s="18"/>
      <c r="N12" s="13" t="s">
        <v>30</v>
      </c>
      <c r="O12" s="11">
        <f>IFERROR(GETPIVOTDATA("Full Name",$N$4,"Work Location","Head Office"),"0")</f>
        <v>8</v>
      </c>
      <c r="S12" s="13" t="s">
        <v>75</v>
      </c>
      <c r="T12" s="11">
        <f>IFERROR(GETPIVOTDATA("Full Name",$S$4,"Skills","Communication"),"0")</f>
        <v>12</v>
      </c>
    </row>
    <row r="13" spans="2:26">
      <c r="B13" s="27" t="s">
        <v>218</v>
      </c>
      <c r="C13" s="26">
        <f>SUM(C10:C12)</f>
        <v>50</v>
      </c>
      <c r="E13" s="11" t="s">
        <v>40</v>
      </c>
      <c r="F13" s="18">
        <f>IFERROR(GETPIVOTDATA("Salary",$E$3,"Job Title","Designer"),"0")</f>
        <v>613842</v>
      </c>
      <c r="G13">
        <f>IFERROR(GETPIVOTDATA("Sum of Leave Taken",$E$3,"Job Title","Designer"),"0")</f>
        <v>110</v>
      </c>
      <c r="I13" s="11" t="s">
        <v>23</v>
      </c>
      <c r="J13" s="18">
        <f>IFERROR(GETPIVOTDATA("Full Name",$I$3,"Age range","18-25"),"0")</f>
        <v>1</v>
      </c>
      <c r="L13" s="18"/>
      <c r="N13" s="13" t="s">
        <v>54</v>
      </c>
      <c r="O13" s="11">
        <f>IFERROR(GETPIVOTDATA("Full Name",$N$4,"Work Location","Remote"),"0")</f>
        <v>19</v>
      </c>
      <c r="S13" s="13" t="s">
        <v>34</v>
      </c>
      <c r="T13" s="11">
        <f>IFERROR(GETPIVOTDATA("Full Name",$S$4,"Skills","Design"),"0")</f>
        <v>11</v>
      </c>
      <c r="V13" s="13" t="s">
        <v>39</v>
      </c>
      <c r="W13" s="11">
        <f>IFERROR(GETPIVOTDATA("Full Name",$V$4,"Region","Central"),"0")</f>
        <v>14</v>
      </c>
    </row>
    <row r="14" spans="2:26">
      <c r="E14" s="11" t="s">
        <v>72</v>
      </c>
      <c r="F14" s="18">
        <f>IFERROR(GETPIVOTDATA("Salary",$E$3,"Job Title","Developer"),"0")</f>
        <v>633594</v>
      </c>
      <c r="G14">
        <f>IFERROR(GETPIVOTDATA("Sum of Leave Taken",$E$3,"Job Title","Developer"),"0")</f>
        <v>104</v>
      </c>
      <c r="I14" s="11" t="s">
        <v>38</v>
      </c>
      <c r="J14" s="18">
        <f>IFERROR(GETPIVOTDATA("Full Name",$I$3,"Age range","26-35"),"0")</f>
        <v>1</v>
      </c>
      <c r="L14" s="18"/>
      <c r="N14" s="20" t="s">
        <v>218</v>
      </c>
      <c r="O14" s="14">
        <f>SUM(O11:O13)</f>
        <v>50</v>
      </c>
      <c r="S14" s="13" t="s">
        <v>96</v>
      </c>
      <c r="T14" s="11">
        <f>IFERROR(GETPIVOTDATA("Full Name",$S$4,"Skills","Excel"),"0")</f>
        <v>7</v>
      </c>
      <c r="V14" s="13" t="s">
        <v>24</v>
      </c>
      <c r="W14" s="11">
        <f>IFERROR(GETPIVOTDATA("Full Name",$V$4,"Region","East"),"0")</f>
        <v>10</v>
      </c>
      <c r="Y14" s="13" t="s">
        <v>26</v>
      </c>
      <c r="Z14" s="16">
        <f>IFERROR(GETPIVOTDATA("Performance Rating",$Y$4,"Department","Finance"),"0")</f>
        <v>2.5833333333333335</v>
      </c>
    </row>
    <row r="15" spans="2:26">
      <c r="E15" s="11" t="s">
        <v>50</v>
      </c>
      <c r="F15" s="18">
        <f>IFERROR(GETPIVOTDATA("Salary",$E$3,"Job Title","HR Specialist"),"0")</f>
        <v>959266</v>
      </c>
      <c r="G15">
        <f>IFERROR(GETPIVOTDATA("Sum of Leave Taken",$E$3,"Job Title","HR Specialist"),"0")</f>
        <v>123</v>
      </c>
      <c r="I15" s="11" t="s">
        <v>59</v>
      </c>
      <c r="J15" s="18">
        <f>IFERROR(GETPIVOTDATA("Full Name",$I$3,"Age range","36-45"),"0")</f>
        <v>2</v>
      </c>
      <c r="L15" s="18"/>
      <c r="S15" s="13" t="s">
        <v>56</v>
      </c>
      <c r="T15" s="11">
        <f>IFERROR(GETPIVOTDATA("Full Name",$S$4,"Skills","Management"),"0")</f>
        <v>11</v>
      </c>
      <c r="V15" s="13" t="s">
        <v>102</v>
      </c>
      <c r="W15" s="11">
        <f>IFERROR(GETPIVOTDATA("Full Name",$V$4,"Region","North"),"0")</f>
        <v>7</v>
      </c>
      <c r="Y15" s="13" t="s">
        <v>41</v>
      </c>
      <c r="Z15" s="16">
        <f>IFERROR(GETPIVOTDATA("Performance Rating",$Y$4,"Department","HR"),"0")</f>
        <v>3.3</v>
      </c>
    </row>
    <row r="16" spans="2:26">
      <c r="E16" s="11" t="s">
        <v>25</v>
      </c>
      <c r="F16" s="18">
        <f>IFERROR(GETPIVOTDATA("Salary",$E$3,"Job Title","Manager"),"0")</f>
        <v>731170</v>
      </c>
      <c r="G16">
        <f>IFERROR(GETPIVOTDATA("Sum of Leave Taken",$E$3,"Job Title","Manager"),"0")</f>
        <v>122</v>
      </c>
      <c r="I16" s="11" t="s">
        <v>98</v>
      </c>
      <c r="J16" s="18">
        <f>IFERROR(GETPIVOTDATA("Full Name",$I$3,"Age range","46-55"),"0")</f>
        <v>2</v>
      </c>
      <c r="L16" s="18"/>
      <c r="N16" s="22">
        <f>SUM(O11)/SUM($O$11:$O$13)</f>
        <v>0.46</v>
      </c>
      <c r="O16" s="28">
        <f>1-N16</f>
        <v>0.54</v>
      </c>
      <c r="S16" s="13" t="s">
        <v>66</v>
      </c>
      <c r="T16" s="11">
        <f>IFERROR(GETPIVOTDATA("Full Name",$S$4,"Skills","Python"),"0")</f>
        <v>9</v>
      </c>
      <c r="V16" s="13" t="s">
        <v>80</v>
      </c>
      <c r="W16" s="11">
        <f>IFERROR(GETPIVOTDATA("Full Name",$V$4,"Region","South"),"0")</f>
        <v>10</v>
      </c>
      <c r="Y16" s="13" t="s">
        <v>81</v>
      </c>
      <c r="Z16" s="16">
        <f>IFERROR(GETPIVOTDATA("Performance Rating",$Y$4,"Department","IT"),"0")</f>
        <v>2.25</v>
      </c>
    </row>
    <row r="17" spans="5:26">
      <c r="E17" s="14" t="s">
        <v>218</v>
      </c>
      <c r="F17" s="19">
        <f>SUM(F12:F16)</f>
        <v>3104913</v>
      </c>
      <c r="G17" s="10">
        <f>SUM(G12:G16)</f>
        <v>487</v>
      </c>
      <c r="H17" s="10"/>
      <c r="I17" s="14" t="s">
        <v>68</v>
      </c>
      <c r="J17" s="19">
        <f>IFERROR(GETPIVOTDATA("Full Name",$I$3,"Age range","56 &lt;"),"0")</f>
        <v>2</v>
      </c>
      <c r="K17" s="14"/>
      <c r="L17" s="19"/>
      <c r="N17" s="22">
        <f>SUM(O12)/SUM($O$11:$O$13)</f>
        <v>0.16</v>
      </c>
      <c r="O17" s="28">
        <f t="shared" ref="O17:O18" si="0">1-N17</f>
        <v>0.84</v>
      </c>
      <c r="V17" s="13" t="s">
        <v>49</v>
      </c>
      <c r="W17" s="11">
        <f>IFERROR(GETPIVOTDATA("Full Name",$V$4,"Region","West"),"0")</f>
        <v>9</v>
      </c>
      <c r="Y17" s="13" t="s">
        <v>51</v>
      </c>
      <c r="Z17" s="16">
        <f>IFERROR(GETPIVOTDATA("Performance Rating",$Y$4,"Department","Marketing"),"0")</f>
        <v>2.3636363636363638</v>
      </c>
    </row>
    <row r="18" spans="5:26">
      <c r="I18" s="11" t="s">
        <v>218</v>
      </c>
      <c r="J18" s="11">
        <f>SUM(J13:J17)</f>
        <v>8</v>
      </c>
      <c r="N18" s="22">
        <f>SUM(O13)/SUM($O$11:$O$13)</f>
        <v>0.38</v>
      </c>
      <c r="O18" s="28">
        <f t="shared" si="0"/>
        <v>0.62</v>
      </c>
      <c r="V18" s="13" t="s">
        <v>218</v>
      </c>
      <c r="W18" s="11">
        <f>SUM(W13:W17)</f>
        <v>50</v>
      </c>
      <c r="Y18" s="13" t="s">
        <v>60</v>
      </c>
      <c r="Z18" s="16">
        <f>IFERROR(GETPIVOTDATA("Performance Rating",$Y$4,"Department","Operations"),"0")</f>
        <v>2.5555555555555554</v>
      </c>
    </row>
    <row r="19" spans="5:26">
      <c r="Y19" s="13" t="s">
        <v>218</v>
      </c>
      <c r="Z19" s="29">
        <f>AVERAGE(Z14:Z18)</f>
        <v>2.6105050505050502</v>
      </c>
    </row>
    <row r="21" spans="5:26">
      <c r="I21" s="11" t="s">
        <v>37</v>
      </c>
      <c r="J21" s="11">
        <f>IFERROR(GETPIVOTDATA("Full Name",$I$3,"Gender","Male"),"0")</f>
        <v>1</v>
      </c>
      <c r="K21" s="21">
        <f t="shared" ref="K21:K22" si="1">SUM(J21)/SUM($J$21:$J$22)</f>
        <v>0.125</v>
      </c>
      <c r="L21" s="23">
        <f>1-K21</f>
        <v>0.875</v>
      </c>
    </row>
    <row r="22" spans="5:26">
      <c r="I22" s="11" t="s">
        <v>22</v>
      </c>
      <c r="J22" s="11">
        <f>IFERROR(GETPIVOTDATA("Full Name",$I$3,"Gender","Female"),"0")</f>
        <v>7</v>
      </c>
      <c r="K22" s="21">
        <f t="shared" si="1"/>
        <v>0.875</v>
      </c>
      <c r="L22" s="23">
        <f>1-K22</f>
        <v>0.125</v>
      </c>
    </row>
    <row r="23" spans="5:26">
      <c r="I23" s="11" t="s">
        <v>218</v>
      </c>
      <c r="J23" s="11">
        <f>SUM(J21:J22)</f>
        <v>8</v>
      </c>
    </row>
  </sheetData>
  <mergeCells count="8">
    <mergeCell ref="V1:W1"/>
    <mergeCell ref="E1:G1"/>
    <mergeCell ref="Y1:Z1"/>
    <mergeCell ref="B1:C1"/>
    <mergeCell ref="I1:J1"/>
    <mergeCell ref="K1:L1"/>
    <mergeCell ref="N1:O1"/>
    <mergeCell ref="S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Detail1</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Ahmad Aj</cp:lastModifiedBy>
  <dcterms:created xsi:type="dcterms:W3CDTF">2024-12-11T17:14:33Z</dcterms:created>
  <dcterms:modified xsi:type="dcterms:W3CDTF">2025-12-02T12:11:31Z</dcterms:modified>
</cp:coreProperties>
</file>